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yashsharma/Documents/lending_portfolio_model/"/>
    </mc:Choice>
  </mc:AlternateContent>
  <xr:revisionPtr revIDLastSave="0" documentId="13_ncr:1_{0C8FA730-0DEE-7945-8AD9-C00D8B5C0ECE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Credit_Risk_Dashboard" sheetId="12" r:id="rId1"/>
    <sheet name="Top_KPIs" sheetId="1" state="hidden" r:id="rId2"/>
    <sheet name="ROI_Data" sheetId="2" state="hidden" r:id="rId3"/>
    <sheet name="LGD_Data" sheetId="3" state="hidden" r:id="rId4"/>
    <sheet name="FICO_DTI_Data" sheetId="4" state="hidden" r:id="rId5"/>
    <sheet name="Utilization_Data" sheetId="5" state="hidden" r:id="rId6"/>
    <sheet name="Term_Data" sheetId="6" state="hidden" r:id="rId7"/>
    <sheet name="Emp_Length_Data" sheetId="7" state="hidden" r:id="rId8"/>
    <sheet name="Purpose_Data" sheetId="8" state="hidden" r:id="rId9"/>
    <sheet name="Loan_Amount_Data" sheetId="9" state="hidden" r:id="rId10"/>
    <sheet name="State_Data" sheetId="10" state="hidden" r:id="rId11"/>
  </sheets>
  <definedNames>
    <definedName name="_xlchart.v5.0" hidden="1">State_Data!$A$1</definedName>
    <definedName name="_xlchart.v5.1" hidden="1">State_Data!$A$2:$A$52</definedName>
    <definedName name="_xlchart.v5.2" hidden="1">State_Data!$D$1</definedName>
    <definedName name="_xlchart.v5.3" hidden="1">State_Data!$D$2:$D$52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2" i="10"/>
  <c r="D2" i="1"/>
  <c r="U2" i="12" s="1"/>
  <c r="P2" i="12"/>
  <c r="K2" i="12"/>
  <c r="G2" i="12"/>
</calcChain>
</file>

<file path=xl/sharedStrings.xml><?xml version="1.0" encoding="utf-8"?>
<sst xmlns="http://schemas.openxmlformats.org/spreadsheetml/2006/main" count="153" uniqueCount="118">
  <si>
    <t>total_borrowers</t>
  </si>
  <si>
    <t>total_loan_amount</t>
  </si>
  <si>
    <t>amount_at_risk</t>
  </si>
  <si>
    <t>overall_default_rate</t>
  </si>
  <si>
    <t>grade</t>
  </si>
  <si>
    <t>total_closed_loans</t>
  </si>
  <si>
    <t>total_cap_dep</t>
  </si>
  <si>
    <t>net_return</t>
  </si>
  <si>
    <t>roi_percentage</t>
  </si>
  <si>
    <t>A</t>
  </si>
  <si>
    <t>B</t>
  </si>
  <si>
    <t>C</t>
  </si>
  <si>
    <t>D</t>
  </si>
  <si>
    <t>E</t>
  </si>
  <si>
    <t>F</t>
  </si>
  <si>
    <t>G</t>
  </si>
  <si>
    <t>total_defaults</t>
  </si>
  <si>
    <t>avg_loan_amount</t>
  </si>
  <si>
    <t>avg_lgd_percentage</t>
  </si>
  <si>
    <t>recovery_rate_percentage</t>
  </si>
  <si>
    <t>fico_bracket</t>
  </si>
  <si>
    <t>dti_bracket</t>
  </si>
  <si>
    <t>total_loans</t>
  </si>
  <si>
    <t>default_rate</t>
  </si>
  <si>
    <t>1. Excellent (750+)</t>
  </si>
  <si>
    <t>1. Low (&lt;15%)</t>
  </si>
  <si>
    <t>2. Moderate (15-25%)</t>
  </si>
  <si>
    <t>3. High (&gt;25%)</t>
  </si>
  <si>
    <t>2. Good (700-749)</t>
  </si>
  <si>
    <t>3. Fair (660-699)</t>
  </si>
  <si>
    <t>4. Poor (&lt;660)</t>
  </si>
  <si>
    <t>utilization_bracket</t>
  </si>
  <si>
    <t>1. Low (&lt;30%)</t>
  </si>
  <si>
    <t>2. Moderate (30-60%)</t>
  </si>
  <si>
    <t>3. High (60-90%)</t>
  </si>
  <si>
    <t>4. Maxed Out (&gt;90%)</t>
  </si>
  <si>
    <t>term</t>
  </si>
  <si>
    <t xml:space="preserve"> 36 months</t>
  </si>
  <si>
    <t xml:space="preserve"> 60 months</t>
  </si>
  <si>
    <t>employment_duration</t>
  </si>
  <si>
    <t>1. Junior (&lt;2 yrs)</t>
  </si>
  <si>
    <t>2. Mid (2-5 yrs)</t>
  </si>
  <si>
    <t>3. Senior (6-9 yrs)</t>
  </si>
  <si>
    <t>4. Veteran (10+ yrs)</t>
  </si>
  <si>
    <t>5. Unknown</t>
  </si>
  <si>
    <t>purpose</t>
  </si>
  <si>
    <t>debt_consolidation</t>
  </si>
  <si>
    <t>credit_card</t>
  </si>
  <si>
    <t>home_improvement</t>
  </si>
  <si>
    <t>other</t>
  </si>
  <si>
    <t>major_purchase</t>
  </si>
  <si>
    <t>medical</t>
  </si>
  <si>
    <t>small_business</t>
  </si>
  <si>
    <t>car</t>
  </si>
  <si>
    <t>loan_amount_bin</t>
  </si>
  <si>
    <t>1. $0-$8k</t>
  </si>
  <si>
    <t>2. $8k-$16k</t>
  </si>
  <si>
    <t>3. $16k-$24k</t>
  </si>
  <si>
    <t>4. $24k-$32k</t>
  </si>
  <si>
    <t>5. $32k+</t>
  </si>
  <si>
    <t>state</t>
  </si>
  <si>
    <t>CA</t>
  </si>
  <si>
    <t>NY</t>
  </si>
  <si>
    <t>TX</t>
  </si>
  <si>
    <t>FL</t>
  </si>
  <si>
    <t>NJ</t>
  </si>
  <si>
    <t>IL</t>
  </si>
  <si>
    <t>PA</t>
  </si>
  <si>
    <t>OH</t>
  </si>
  <si>
    <t>GA</t>
  </si>
  <si>
    <t>VA</t>
  </si>
  <si>
    <t>NC</t>
  </si>
  <si>
    <t>MD</t>
  </si>
  <si>
    <t>MI</t>
  </si>
  <si>
    <t>AZ</t>
  </si>
  <si>
    <t>MA</t>
  </si>
  <si>
    <t>MN</t>
  </si>
  <si>
    <t>WA</t>
  </si>
  <si>
    <t>CO</t>
  </si>
  <si>
    <t>IN</t>
  </si>
  <si>
    <t>MO</t>
  </si>
  <si>
    <t>TN</t>
  </si>
  <si>
    <t>NV</t>
  </si>
  <si>
    <t>AL</t>
  </si>
  <si>
    <t>LA</t>
  </si>
  <si>
    <t>CT</t>
  </si>
  <si>
    <t>WI</t>
  </si>
  <si>
    <t>OK</t>
  </si>
  <si>
    <t>SC</t>
  </si>
  <si>
    <t>KY</t>
  </si>
  <si>
    <t>AR</t>
  </si>
  <si>
    <t>OR</t>
  </si>
  <si>
    <t>KS</t>
  </si>
  <si>
    <t>UT</t>
  </si>
  <si>
    <t>MS</t>
  </si>
  <si>
    <t>NM</t>
  </si>
  <si>
    <t>HI</t>
  </si>
  <si>
    <t>RI</t>
  </si>
  <si>
    <t>NH</t>
  </si>
  <si>
    <t>NE</t>
  </si>
  <si>
    <t>WV</t>
  </si>
  <si>
    <t>DE</t>
  </si>
  <si>
    <t>AK</t>
  </si>
  <si>
    <t>MT</t>
  </si>
  <si>
    <t>SD</t>
  </si>
  <si>
    <t>WY</t>
  </si>
  <si>
    <t>DC</t>
  </si>
  <si>
    <t>VT</t>
  </si>
  <si>
    <t>ND</t>
  </si>
  <si>
    <t>ID</t>
  </si>
  <si>
    <t>ME</t>
  </si>
  <si>
    <t>IA</t>
  </si>
  <si>
    <t>CREDIT RISK REPORT</t>
  </si>
  <si>
    <r>
      <t>Default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Rate</t>
    </r>
  </si>
  <si>
    <r>
      <t>Total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Volume</t>
    </r>
  </si>
  <si>
    <t>amount_at_risk_m</t>
  </si>
  <si>
    <t>Charged-Off Principal</t>
  </si>
  <si>
    <t>Closed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</si>
</sst>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,,,&quot;B&quot;"/>
    <numFmt numFmtId="165" formatCode="#\,###\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rgb="FFE2E8F0"/>
      <name val="Calibri"/>
      <family val="2"/>
      <scheme val="minor"/>
    </font>
    <font>
      <sz val="22"/>
      <color rgb="FFE2E8F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6">
    <border>
      <left/>
      <right/>
      <top/>
      <bottom/>
      <diagonal/>
    </border>
    <border>
      <left style="thin">
        <color theme="3" tint="0.59996337778862885"/>
      </left>
      <right/>
      <top/>
      <bottom style="thin">
        <color theme="3" tint="0.59996337778862885"/>
      </bottom>
      <diagonal/>
    </border>
    <border>
      <left/>
      <right/>
      <top/>
      <bottom style="thin">
        <color theme="3" tint="0.59996337778862885"/>
      </bottom>
      <diagonal/>
    </border>
    <border>
      <left/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3" tint="0.59996337778862885"/>
      </right>
      <top style="thin">
        <color theme="0"/>
      </top>
      <bottom/>
      <diagonal/>
    </border>
    <border>
      <left style="thin">
        <color theme="3" tint="0.59996337778862885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3" tint="0.59996337778862885"/>
      </bottom>
      <diagonal/>
    </border>
    <border>
      <left/>
      <right style="thin">
        <color theme="0"/>
      </right>
      <top/>
      <bottom style="thin">
        <color theme="3" tint="0.59996337778862885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2" borderId="11" xfId="0" applyFill="1" applyBorder="1"/>
    <xf numFmtId="0" fontId="0" fillId="2" borderId="12" xfId="0" applyFill="1" applyBorder="1"/>
    <xf numFmtId="0" fontId="2" fillId="2" borderId="11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0" fontId="5" fillId="2" borderId="1" xfId="1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>
      <alignment horizontal="center"/>
    </xf>
    <xf numFmtId="10" fontId="5" fillId="2" borderId="10" xfId="1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0F172A"/>
      <color rgb="FF1E293B"/>
      <color rgb="FF38BDF8"/>
      <color rgb="FFEF4444"/>
      <color rgb="FFE2E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Net ROI by Grade (%)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ROI_Data!$E$1</c:f>
              <c:strCache>
                <c:ptCount val="1"/>
                <c:pt idx="0">
                  <c:v>roi_percentage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D-5140-9C17-E746EE2BE8CC}"/>
              </c:ext>
            </c:extLst>
          </c:dPt>
          <c:dPt>
            <c:idx val="1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D-5140-9C17-E746EE2BE8CC}"/>
              </c:ext>
            </c:extLst>
          </c:dPt>
          <c:dPt>
            <c:idx val="2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D-5140-9C17-E746EE2BE8CC}"/>
              </c:ext>
            </c:extLst>
          </c:dPt>
          <c:dPt>
            <c:idx val="3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BD-5140-9C17-E746EE2BE8CC}"/>
              </c:ext>
            </c:extLst>
          </c:dPt>
          <c:dPt>
            <c:idx val="4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BD-5140-9C17-E746EE2BE8CC}"/>
              </c:ext>
            </c:extLst>
          </c:dPt>
          <c:dPt>
            <c:idx val="5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BD-5140-9C17-E746EE2BE8CC}"/>
              </c:ext>
            </c:extLst>
          </c:dPt>
          <c:dPt>
            <c:idx val="6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BD-5140-9C17-E746EE2BE8CC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ROI_Data!$A$2:$A$8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ROI_Data!$E$2:$E$8</c:f>
              <c:numCache>
                <c:formatCode>General</c:formatCode>
                <c:ptCount val="7"/>
                <c:pt idx="0">
                  <c:v>5.32</c:v>
                </c:pt>
                <c:pt idx="1">
                  <c:v>5.2</c:v>
                </c:pt>
                <c:pt idx="2">
                  <c:v>2.73</c:v>
                </c:pt>
                <c:pt idx="3">
                  <c:v>0.49</c:v>
                </c:pt>
                <c:pt idx="4">
                  <c:v>-1.37</c:v>
                </c:pt>
                <c:pt idx="5">
                  <c:v>-4.03</c:v>
                </c:pt>
                <c:pt idx="6">
                  <c:v>-8.77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BD-5140-9C17-E746EE2B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321344"/>
        <c:axId val="823319552"/>
      </c:barChart>
      <c:catAx>
        <c:axId val="82332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Grade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945644871625002"/>
              <c:y val="0.92746654654105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19552"/>
        <c:crosses val="autoZero"/>
        <c:auto val="1"/>
        <c:lblAlgn val="ctr"/>
        <c:lblOffset val="100"/>
        <c:noMultiLvlLbl val="0"/>
      </c:catAx>
      <c:valAx>
        <c:axId val="82331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2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bg1"/>
                </a:solidFill>
                <a:effectLst/>
              </a:rPr>
              <a:t>Loss Given Default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Loss Given Default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LGD_Data!$A$2:$A$8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LGD_Data!$D$2:$D$8</c:f>
              <c:numCache>
                <c:formatCode>General</c:formatCode>
                <c:ptCount val="7"/>
                <c:pt idx="0">
                  <c:v>44.89</c:v>
                </c:pt>
                <c:pt idx="1">
                  <c:v>44.66</c:v>
                </c:pt>
                <c:pt idx="2">
                  <c:v>46.23</c:v>
                </c:pt>
                <c:pt idx="3">
                  <c:v>46.3</c:v>
                </c:pt>
                <c:pt idx="4">
                  <c:v>45.87</c:v>
                </c:pt>
                <c:pt idx="5">
                  <c:v>46.06</c:v>
                </c:pt>
                <c:pt idx="6">
                  <c:v>49.88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1-534E-91D8-76EE8642E7F7}"/>
            </c:ext>
          </c:extLst>
        </c:ser>
        <c:ser>
          <c:idx val="1"/>
          <c:order val="1"/>
          <c:tx>
            <c:v>Recovery 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LGD_Data!$A$2:$A$8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LGD_Data!$E$2:$E$8</c:f>
              <c:numCache>
                <c:formatCode>General</c:formatCode>
                <c:ptCount val="7"/>
                <c:pt idx="0">
                  <c:v>5.97</c:v>
                </c:pt>
                <c:pt idx="1">
                  <c:v>6.59</c:v>
                </c:pt>
                <c:pt idx="2">
                  <c:v>7.31</c:v>
                </c:pt>
                <c:pt idx="3">
                  <c:v>7.8</c:v>
                </c:pt>
                <c:pt idx="4">
                  <c:v>8.6199999999999992</c:v>
                </c:pt>
                <c:pt idx="5">
                  <c:v>9.32</c:v>
                </c:pt>
                <c:pt idx="6">
                  <c:v>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1-534E-91D8-76EE8642E7F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23321344"/>
        <c:axId val="823319552"/>
      </c:barChart>
      <c:catAx>
        <c:axId val="823321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Grade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19552"/>
        <c:crosses val="autoZero"/>
        <c:auto val="1"/>
        <c:lblAlgn val="ctr"/>
        <c:lblOffset val="100"/>
        <c:noMultiLvlLbl val="0"/>
      </c:catAx>
      <c:valAx>
        <c:axId val="82331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Percentage (%)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Default Rate by Credit Utilization (%)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Utilization_Data!$C$1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6F-C14C-948B-167EFEC687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1F-A64E-A7C6-4A86F538565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1F-A64E-A7C6-4A86F538565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1F-A64E-A7C6-4A86F538565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Utilization_Data!$A$2:$A$5</c:f>
              <c:strCache>
                <c:ptCount val="4"/>
                <c:pt idx="0">
                  <c:v>1. Low (&lt;30%)</c:v>
                </c:pt>
                <c:pt idx="1">
                  <c:v>2. Moderate (30-60%)</c:v>
                </c:pt>
                <c:pt idx="2">
                  <c:v>3. High (60-90%)</c:v>
                </c:pt>
                <c:pt idx="3">
                  <c:v>4. Maxed Out (&gt;90%)</c:v>
                </c:pt>
              </c:strCache>
            </c:strRef>
          </c:cat>
          <c:val>
            <c:numRef>
              <c:f>Utilization_Data!$C$2:$C$5</c:f>
              <c:numCache>
                <c:formatCode>General</c:formatCode>
                <c:ptCount val="4"/>
                <c:pt idx="0">
                  <c:v>0.1588</c:v>
                </c:pt>
                <c:pt idx="1">
                  <c:v>0.19950000000000001</c:v>
                </c:pt>
                <c:pt idx="2">
                  <c:v>0.21959999999999999</c:v>
                </c:pt>
                <c:pt idx="3">
                  <c:v>0.23319999999999999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C14C-948B-167EFEC68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96256640"/>
        <c:axId val="1196244992"/>
      </c:barChart>
      <c:valAx>
        <c:axId val="119624499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56640"/>
        <c:crosses val="autoZero"/>
        <c:crossBetween val="between"/>
      </c:valAx>
      <c:catAx>
        <c:axId val="119625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44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Share of Defaults by Employment Length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Total_defaults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FF-4A40-A511-75A1DDA127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8FF-4A40-A511-75A1DDA127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FF-4A40-A511-75A1DDA127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8FF-4A40-A511-75A1DDA1279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8FF-4A40-A511-75A1DDA127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2C6C3B4-DF3F-D546-A2FF-23BA3D1AB25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0BCB243C-AF9B-634D-B10C-6497BFFF7938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8FF-4A40-A511-75A1DDA127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45D153-6AA2-C64C-9C3B-68098DF19B43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E9211CE5-383B-6741-9E7B-B4D46422FEC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8FF-4A40-A511-75A1DDA127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0E190C-6C7A-134E-9314-C2C835F36B9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CAA7CB5-DE2B-F247-B4D4-B3B7BEFB350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8FF-4A40-A511-75A1DDA127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D6E3B3C-E947-A94E-BF67-6E9C0A21973D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67D6C25-5EA2-1449-BF11-07718FFEEE48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8FF-4A40-A511-75A1DDA127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9CE3B5-2C9A-3945-8CC1-48C3182CF33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F830D9C-F8D5-0347-9E7D-D034AE9CAA3C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8FF-4A40-A511-75A1DDA12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Emp_Length_Data!$C$2:$C$6</c:f>
              <c:numCache>
                <c:formatCode>General</c:formatCode>
                <c:ptCount val="5"/>
                <c:pt idx="0">
                  <c:v>40380</c:v>
                </c:pt>
                <c:pt idx="1">
                  <c:v>77995</c:v>
                </c:pt>
                <c:pt idx="2">
                  <c:v>45997</c:v>
                </c:pt>
                <c:pt idx="3">
                  <c:v>83057</c:v>
                </c:pt>
                <c:pt idx="4">
                  <c:v>21130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Emp_Length_Data!$A$2:$A$6</c15:f>
                <c15:dlblRangeCache>
                  <c:ptCount val="5"/>
                  <c:pt idx="0">
                    <c:v>1. Junior (&lt;2 yrs)</c:v>
                  </c:pt>
                  <c:pt idx="1">
                    <c:v>2. Mid (2-5 yrs)</c:v>
                  </c:pt>
                  <c:pt idx="2">
                    <c:v>3. Senior (6-9 yrs)</c:v>
                  </c:pt>
                  <c:pt idx="3">
                    <c:v>4. Veteran (10+ yrs)</c:v>
                  </c:pt>
                  <c:pt idx="4">
                    <c:v>5. Unknown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8FF-4A40-A511-75A1DDA127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Risk by Loan Bracket</a:t>
            </a:r>
            <a:endParaRPr lang="en-GB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Charged-Off Principal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Loan_Amount_Data!$A$2:$A$6</c:f>
              <c:strCache>
                <c:ptCount val="5"/>
                <c:pt idx="0">
                  <c:v>1. $0-$8k</c:v>
                </c:pt>
                <c:pt idx="1">
                  <c:v>2. $8k-$16k</c:v>
                </c:pt>
                <c:pt idx="2">
                  <c:v>3. $16k-$24k</c:v>
                </c:pt>
                <c:pt idx="3">
                  <c:v>4. $24k-$32k</c:v>
                </c:pt>
                <c:pt idx="4">
                  <c:v>5. $32k+</c:v>
                </c:pt>
              </c:strCache>
            </c:strRef>
          </c:cat>
          <c:val>
            <c:numRef>
              <c:f>Loan_Amount_Data!$B$2:$B$6</c:f>
              <c:numCache>
                <c:formatCode>General</c:formatCode>
                <c:ptCount val="5"/>
                <c:pt idx="0">
                  <c:v>332291100</c:v>
                </c:pt>
                <c:pt idx="1">
                  <c:v>1246815900</c:v>
                </c:pt>
                <c:pt idx="2">
                  <c:v>1182306650</c:v>
                </c:pt>
                <c:pt idx="3">
                  <c:v>826534125</c:v>
                </c:pt>
                <c:pt idx="4">
                  <c:v>592187950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1-6944-BDF8-A1033F98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4466752"/>
        <c:axId val="1610997184"/>
      </c:barChart>
      <c:lineChart>
        <c:grouping val="standard"/>
        <c:varyColors val="0"/>
        <c:ser>
          <c:idx val="1"/>
          <c:order val="1"/>
          <c:tx>
            <c:v>Default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Loan_Amount_Data!$A$2:$A$6</c:f>
              <c:strCache>
                <c:ptCount val="5"/>
                <c:pt idx="0">
                  <c:v>1. $0-$8k</c:v>
                </c:pt>
                <c:pt idx="1">
                  <c:v>2. $8k-$16k</c:v>
                </c:pt>
                <c:pt idx="2">
                  <c:v>3. $16k-$24k</c:v>
                </c:pt>
                <c:pt idx="3">
                  <c:v>4. $24k-$32k</c:v>
                </c:pt>
                <c:pt idx="4">
                  <c:v>5. $32k+</c:v>
                </c:pt>
              </c:strCache>
            </c:strRef>
          </c:cat>
          <c:val>
            <c:numRef>
              <c:f>Loan_Amount_Data!$C$2:$C$6</c:f>
              <c:numCache>
                <c:formatCode>General</c:formatCode>
                <c:ptCount val="5"/>
                <c:pt idx="0">
                  <c:v>16.059999999999999</c:v>
                </c:pt>
                <c:pt idx="1">
                  <c:v>20.100000000000001</c:v>
                </c:pt>
                <c:pt idx="2">
                  <c:v>22.85</c:v>
                </c:pt>
                <c:pt idx="3">
                  <c:v>23</c:v>
                </c:pt>
                <c:pt idx="4">
                  <c:v>24.11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1-6944-BDF8-A1033F98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604928"/>
        <c:axId val="935605824"/>
      </c:lineChart>
      <c:catAx>
        <c:axId val="93560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Amount Bracket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05824"/>
        <c:crosses val="autoZero"/>
        <c:auto val="1"/>
        <c:lblAlgn val="ctr"/>
        <c:lblOffset val="100"/>
        <c:noMultiLvlLbl val="0"/>
      </c:catAx>
      <c:valAx>
        <c:axId val="935605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Default Rate (%)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04928"/>
        <c:crosses val="autoZero"/>
        <c:crossBetween val="between"/>
      </c:valAx>
      <c:valAx>
        <c:axId val="16109971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Charged-Off Principal ($M)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66752"/>
        <c:crosses val="max"/>
        <c:crossBetween val="between"/>
        <c:dispUnits>
          <c:builtInUnit val="millions"/>
        </c:dispUnits>
      </c:valAx>
      <c:catAx>
        <c:axId val="1314466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099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Default Rate by Loan Purpose (%)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Purpose_Data!$C$1</c:f>
              <c:strCache>
                <c:ptCount val="1"/>
                <c:pt idx="0">
                  <c:v>default_rate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D4-954C-8724-9E2CE83CAF3C}"/>
                </c:ext>
              </c:extLst>
            </c:dLbl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Purpose_Data!$A$2:$A$9</c:f>
              <c:strCache>
                <c:ptCount val="8"/>
                <c:pt idx="0">
                  <c:v>small_business</c:v>
                </c:pt>
                <c:pt idx="1">
                  <c:v>medical</c:v>
                </c:pt>
                <c:pt idx="2">
                  <c:v>debt_consolidation</c:v>
                </c:pt>
                <c:pt idx="3">
                  <c:v>other</c:v>
                </c:pt>
                <c:pt idx="4">
                  <c:v>major_purchase</c:v>
                </c:pt>
                <c:pt idx="5">
                  <c:v>home_improvement</c:v>
                </c:pt>
                <c:pt idx="6">
                  <c:v>credit_card</c:v>
                </c:pt>
                <c:pt idx="7">
                  <c:v>car</c:v>
                </c:pt>
              </c:strCache>
            </c:strRef>
          </c:cat>
          <c:val>
            <c:numRef>
              <c:f>Purpose_Data!$C$2:$C$9</c:f>
              <c:numCache>
                <c:formatCode>General</c:formatCode>
                <c:ptCount val="8"/>
                <c:pt idx="0">
                  <c:v>29.71</c:v>
                </c:pt>
                <c:pt idx="1">
                  <c:v>21.78</c:v>
                </c:pt>
                <c:pt idx="2">
                  <c:v>21.15</c:v>
                </c:pt>
                <c:pt idx="3">
                  <c:v>21.04</c:v>
                </c:pt>
                <c:pt idx="4">
                  <c:v>18.600000000000001</c:v>
                </c:pt>
                <c:pt idx="5">
                  <c:v>17.72</c:v>
                </c:pt>
                <c:pt idx="6">
                  <c:v>16.93</c:v>
                </c:pt>
                <c:pt idx="7">
                  <c:v>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8D4-954C-8724-9E2CE83CAF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64558080"/>
        <c:axId val="864553152"/>
      </c:barChart>
      <c:catAx>
        <c:axId val="8645580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0" i="0" u="none" strike="noStrike" cap="all" baseline="0">
                    <a:effectLst/>
                  </a:rPr>
                  <a:t>Purpose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53152"/>
        <c:crosses val="autoZero"/>
        <c:auto val="1"/>
        <c:lblAlgn val="ctr"/>
        <c:lblOffset val="100"/>
        <c:noMultiLvlLbl val="0"/>
      </c:catAx>
      <c:valAx>
        <c:axId val="86455315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0" i="0" u="none" strike="noStrike" cap="all" baseline="0">
                    <a:effectLst/>
                  </a:rPr>
                  <a:t>Default Rate (%)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5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n-IN" sz="1600" b="1" i="0" u="none" strike="noStrike" baseline="0">
                <a:solidFill>
                  <a:sysClr val="window" lastClr="FFFFFF">
                    <a:lumMod val="9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Charged-Off Principal by State ($M)</a:t>
            </a:r>
            <a:endParaRPr lang="en-GB" sz="16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noFill/>
            <a:ln>
              <a:solidFill>
                <a:schemeClr val="accent1"/>
              </a:solidFill>
            </a:ln>
          </cx:spPr>
        </cx:plotSurface>
        <cx:series layoutId="regionMap" uniqueId="{00000003-6EB5-5448-8B5B-998959742DAE}">
          <cx:tx>
            <cx:txData>
              <cx:f/>
              <cx:v>Charged-Off Principal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1H1pc9u4svZfSeXzpYfYgVt3btWQkrXY8hI7zvKFJTsO9w0E119/m15ybMZ2zinrrbekmfFUQhlQ
40E3up9utP7npvvvm+R2qz90aZJV/33T/f0xMKb477/+qm6C23RbHaThjc6r/Kc5uMnTv/KfP8Ob
279+6G0bZv5f2Eb0r5tgq81t9/F//wdG82/z4/xma8I8O69vdf/ptqoTU73x7MVHH27yOjPjr/sw
0t8fP2ehuf3x4cJszW318cNtZkLTX/bF7d8fn73z44e/puP9NveHBD6eqX/A7xJ1wGzCBCXCvnuR
jx+SPPMfHltKHdhIEk4UVXcv+jj3yTaF3/+3P9bdh9r++KFvq+rDw/9/+/Vnkvz2NKxy935R3Hz8
7J8v7oT96/mi/+//TP4CxJ/8zRNcpmv1p0fw0dMwm4WV0eGNQX9/XP3zuCD3YDx7/h+CQfGBLSgH
NOjLYBAAy7Y5sh+e88e578FY5e32vz68AcnzD/cyJC8O8uwX74XeQ6w288f1eg2r/4cb5WT2p8mf
7+O3tJaKA0o5sSUi91qpnmstsu0DyhXBGP16fm8x7jfKSa5N8GG2jXPz/g3z5mCTjTMuwh5unC/f
dogdPgBMOMbkQYnxFDtxwBiiFFT9HrzHue+x+9LnYIH8d+v5a+NMEBtF30PEZn9U9X9f2+CMtG0p
OCbslzY9PSMFA2WTnBIk75+z54jNbpNtu9W374bs1YEmmI3C7yFmZ7s8Su0DqThX8v4gtW30XMuE
OJBESiXEg5LJ55id3WZZ1SfNNgvfbyHfHGyC3bgIe4jdyQ71jaIDhgUiQvB79CYWEnxSiWwBFnT0
huA1cYNObq/1torfj9urA00wG4XfQ8xm7uOef80d+g9spDxQNhXgkECA8Mw4CgggOFacPBjHSQDx
6Ep/yH9+cPOkTq93oHD/1qATEMfV2EMQv1ztFEROMQMU8f1BJp5jKe0DDmpJlA0O5viCYPGpW/nl
tjIfrkLth7uwmm+PNkFvXIY9RO8IQtinofwzqf7D6JHIAyqpwOOZdveaHHlKHhAJwTyE+7/QfYre
0TarttW7nZRXhnkm2d8fR8H3EK+TXWqbOiCMg59P/uWCPLWcCPEDzhiRQt57MYDnU7xObpvtj10c
ci8OM8FrFHwf8Vo+rtn7jzhKDrhkHKlHtwOs31O8BLgt4LJgZat7/QO35Tle7YflNi2qINxBLHBy
+9ZoU/RgGfYQvc3l4wruAD3wQwhhSImXuTVkqwNOGcJ89GCe4rbJM7PN3q9or40zwWoUeg+x+uf7
46q9HytCD/BIXkn0QDpP/BCE0AEHsBRn9xHCxDL+o8Mh3wFir40zQWwUfQ8R+7TaHWIQsnEssWIP
Tr6CcHpqGxEcYyNod6+J5/gpAEb/w6pKttmPd3sgbw42wW5chD3E7mSzO+xA2ygGtx7Rh3B7cq4h
mx8gW4LXLyd6Np5Bm9suvMnfjdkbQ00QG0XfQ8Q24PDenyo7sI/4QGBgJOUjH6mea5uEo4xxbFOM
7z0R/jj3PYW8Catq/LcowncD99ZYE+TGJdhD5D7v0AsBKpngkdjCD9TVhNq6O9mExBjzCWafzTZ4
N1gvDjJBaRR3D1H659PjHt+BflEgj4E6JuhBwSanmcIHlCjEGHuglyeE/z863k0s/epAE8xG4fcQ
s8uTHWLGDiQF2sp+CJbtiWZJfkAowRyB5XxkR556+ZdA+ENpwu37szSvjzRBbRR/D1G7cHeIGgHa
GGpLMPoXo/jUbwTGUSoKjgd6SGRPrOJFXkMi293qPAl34PD/YbgJfuNC7CF+7g7PszFVIxhiEFn/
0qqn+AnwVIiEQA5PTKSbg7rdmPCmNu8+1d4aawLZKPseQnZ4vDuVw/KAKSgwACLr4TVxHuFwk4JQ
LMk9pORx7nvn8TDJdbgD3vG1cSaIjaLvIWJXu1QyCmVhDMM/AMVEuzjHXHEIzu5eEyW7utUpkFfv
VrDXxplANcq8h1D9c/S4wd/vOXJ6AJU7VNj4gdOnzxFDDB9goSRHdILVP8lOUtavDDNBahR5D5Fa
7pCxQhAjA6shbAIuxVOlArd+LD+g4CbeM8UT0mMJtTzh++PmV4aZADVKvIdAne4wGIO0iyIS6qsI
f/G8QtiGejkoCGEUaOKnLv2pvvXz7N3W75VhJkiNIu8hUsf/PK7Z+40fsQ8U4GDzX67Fc81SCJx5
BOSG/JdxfIrXcV6HVbiLVMvrI01QG8XfQ9T+2aE/SMBFh2QKUE6TLAtEzJJCzgzbD9UgwDI+hQuO
mutt+v682GvjTKAaZd5DqDY75DjoyGEoBNzTA+8ER9PTo0uB96HAbYfU2XOoNuFIbuyi2Pv1kSZw
jXLvIVwXs8eVe789pJBYIaOnJ8T9yTVRsLFKHxMbEOXgJj5VrYs7WmNH9flvDjZBbRR/D1Hb7PAU
g0s4wBHCdSio47h7TchfKPPgNtyZgrqc56BttlW1vQnq6taY95dRvT3aBLZR/j2EzT19XMH3KxtU
vwFlzxgkvV5kosA/PAAPcbzK9jjpPZ8BRae53v54fwrz1YEmYI1S7yFYX3YYfIFlhBuFihH+oGPg
Wjw9yCCBKQhUEzD1Mgf1Jaxu8qwK3+/cvz7SBLVR/D1EbbNbFSNcQM6LPpD1kxTLmBYTAgoJHm+d
TSiOMVWc1/r9sfOrA00wG4XfQ8xWO3QZIeGsgOil8jFVOaEQwckHdh78E3Dz714TzFbZj51EZK+N
M0FsFH0PEdvs1jZKQYWCKvwX/Q/JwDbaCiB7OSW2CW+C0N++3zS+OtAEs1H4PcTsaoc+I4ErmwhL
BebxRcyEPBivojFlPzyf+CA7uzPx6kATzEbh9xCzk/Wj7/Z+h5HaB3B72gYn5OXTTICPAhVW0ODh
HlI1idHGirX1ra5u+3czjG8MNcFtXIA9xM3dra5hRuFqJ3oos0fPfUeoFABmX8AFQvqA3OOeefD3
t0n4M9e7uKHkvj7UBLdxAfYQt80O2ZAxQIO8Clw+eo6X4AfChgtnvzqMTGzjZqv7nZQFvzrQBKtR
6D3E6hTueNxzSDuxjRTyYHBZ4mUORAJnbCu4CQiZzrvXBLPTIHx/PP3iIBOsRqH3EKvFLu0hhnsr
UGIDNOI9FhN7KAn0CoH2PlBF9SJWi9scLmy+n8Z/bZwJYqPoe4jYaocZl9HzwHTsqvRwvWViEYH9
QBTynexXffejZt+fYKsEit3y8P0c46sDTTAbhd9DzE7cx3V7v0UkwB4SsHi/LmtOuHwBmEm4q8n5
wyWKSaHifZOcnRUq/mG4CX7jQuwhfqc7LMwZ8ZMEmiY91ClO+4EoiODgjottP+ZqQCefZmRO42Qb
5DvIdr460ASzUfg9xOzLDk+2scsVQtCcTj5EzROdu6/8gMPvkZCEk+8pZl+2cNU2880OakDeGGqC
27gAe4jb0bfHtduBrQRdwgJLzh4KByYZNGCwsBTAFKMHdn/COR4BiPVN/P64+tWBJpiNwu8hZqsd
RmeQkYEGLdBU5zFonmCGENAhkI4RwGI97pQHb+QHGMZ3UyCrF0eZ4DQKvIc4XX59XLEd6BaCXmNE
UrgR8aK3D72RCJTsQA+Qf+neU5t4edvtoMfHy6NM0BrF3kO0TnZoCaGWAHgNTMciqrsXxMlP85zQ
OQ6uadrQVOIhEph6jcAxfst1/G71GhnGFweaYDYK//8Ds9f7bv5qgznbmu38ruvtkx6tbz99bO46
+dW3aJJ7XVn9+PsjVFJR+0kLnnGQZ+7FZhtmt4+a/eQ3breV+fujxTlgz4GpJJhBgT4b+eMWGiTB
IyghgWBcUMUQEkgKsKjZ2JHz74+jy8MknJ1C2XABA48dlqqxGAgekQMbKomYDWwZtNoCFf/Vb/gs
T3qodP21GA9//pDV6VkeZqb6+yNMUdy/a/ykDG54CMitwzhQL6b4XQFScbP9BO4SvBn9V6/gspzp
rWGZe/NezVm/kRFkU3/1Fv63ppAI+teMaSz4yNDREj7Ckym8tk4sH6th2XjEiQfpWH3mSA5L+p5Z
RkGfzKI91XUsgFlE9r2yvufdrWEQDr1nClDSp1OIMKdZ3sAU9XAu7PM+nJXD9dtTjEM8gwN6J8Ad
Dw6J2rFCVkym4F2Cs8aSetlSWTqNpXw3LPLzNC0XLKDp4u3ZfgP/bjYF7hf4aFD7OUFGdKwzLBd6
2ec+c+wKfoSp6OaJXyRwBP9HawdTIaimgtIczBhcKnq+dnbFiw53CAQLpH/ZRbR0/KhBG9s0sfP2
VBAN/LaGCPxOiPIgnS3UZA1RzOw+ITBVprP6OE5MvOQ66l2vGzqn9Lt0kTd+/5/uDZAPmicgKAej
o7s7mZSFHsIWcDXLPoZVxBR+cC2p41nw42351Avywb3w0XOm0EiDT5YyJlYxFIWll2kfEM9JPCta
WqWMVjG2OydJdHlW9Khz4mQINnXSdX+Yf9wV0z2KCRCJcN9oNE2TXdP7tAjs2K+WMrW6Oc9AQF62
n98WchRiOgnckLclxOlgIgWG50/UuUO56Y3CemlMiRaiDdrQ8QXxThJsD8uhx53T1Kqb5zrVh29P
/dL+gQvCkPGDKnaosgXj/3RqxWiHfEz0Mmrjfl4QZnwnsnrhCstOSof4AXP6wHjzt6dFdzdOJkIj
BJ3boKMlHAoIuMHnM1eJVUR+U+olszJ9k0NbzHYe2i2eixasDvPi5BOxU29tJ7W3JpVdH3YVAQii
Di36rmkXYaH1FQ4GgtxwqKKZNuIcs7Rhs6Dp2mOleXiYe9qeEdM1h6jxvIvQxnXgiLSOLvtYdo6I
RHRU8Ua4Mi++p7KYRVJW8yRHzbKOtMtUGdiOBbWss9gSwSYpit6Jyzp3eKjzI67raBXYiTiy5cC/
WanIkBOwPtjYpcWPEj/p3cG2qnlgsebI+GkNG7UzyWyo4/q4VunwOTTwx6AIsBuJ8objVKy9MCVz
aZXNrBJDuqC4OqYxNp+7rKfnrVejhVWLZJ4THa1oasdOUiN6WMVgQ0VXoI2043QeEdo5YISaT0QY
GCSW5lgMUT/PB4l7p+krtPE8AkdhBGbXz+vg3Iua9kaZtD9vBlJXLvc62AZNBPOFw22bce9rUNQ6
mqUqGT7zljMyawd0q3VnJS6rqPlplbQL3C5KzJXCoQwOO27oedPYMNC4wIyiTd4zbJzUpIXLe8Zn
aeGZ44R7xDgh9dO5xzJRuPD5YlcxI9w6iayTyKe3prKo0/bQ4j8aus90wLcqU+xbh5nv0toKv5q4
i1Z2X8KS6AAUKWvp7WByrZygLYdlVILFiJICQGDeYK5qG8ZLO/gcUSfidapYdRWOWz/pSnGUyjrY
FGnrzQnTaFFXbXDeJjha+RlpZkoX+rCFOx+LHOMhduDA8V3l9d5cdr0duUMi/TXrKV4OiMMEeOBu
WUZm0aYyXkYsai7ifKgvTOHBm7WqYGPIkJ0nfp87duLFa2jkSx1q5fW8gUqnU6lgOZ2SIG+W6gLP
MLhNJ6ZVUbSKME8Pi6QMS6crQ+S5tfbQJ1p7/nnvh/ZFlNVx5xRtyE5xgqJF4Pv2AlHtXXvA/CrY
JZZ3gluVe24cCFE7FGW1E3kePe0DjWe933O3G3y67gtdHpfg6X1C6dCsuCr4mWcRa1EVATkTKPWP
W8quvLQczo0IqtbtWGMv66DkeFVqkzh13SWdG4eBd226OnFU0ebGIVZtLfI+kD9pFMuflu8Zt7Kq
9kgLpK4D6Mw59+uSIkdBH4S5VRnleLka18OzYz5DQ/cjKStYyarpknngF/YSVahfplLh48T36aXd
xcPc6yVqYDKGFlJkesFa2n6V2Gu+Zx4Lzu20tJdNiBM+o3UXuqEIG+KkkNO4QXFl1mVapyc16aDr
NSHZJqt9ddqhgVwmyvSxU1XSmnclYkct9vsz0sTDoV9oeRaFOtv2AWvPdd93Z10UmJOuKvkx6kS/
qUrFjuKCZAtUssYtesMvip7ImRn6YVm2lmxcZmOYoESj8UqwZ871YIvMGWwvFk7GOZuFkuSHjdfa
P2nITeoESR5clLqJfrCBV0vUgBGKrbRawNZgs44rdlj0RbUweeuns6oIqxk4lHRe27Q8Slo+RE6Q
l8HlgFPPd/wmgTGZF/BZpITnYpENa/i0/iVG+bDu4748YhHu3YR5YelGPLMjh6WRWkE6iB3mUcRn
gvpqxSqVHxre5fPC9q2FDuIwBQEI7AlJouEQAgQzt3utV5a2ExCjlP2hF3jWXHi1p+fYTpTbeAbW
ocvBwcGZ7M4ycAKu29IYMGNNfJ7kVC6CyO5dA1bgexiqYZ43QiwNjppbYWfDIfYlO8IZyhZtHibS
kVZUwEXVHF0bAQ2ynUSF3s9K1clVX3XtKeQg4/Xd23HG2UUaUL3qOz/FzsBEe9oOUXdayd7MGxnn
/Rz28ACra+SMIj/Vzt2U4VDE4DpUtHHrHqvKIYmxr+PYVF9EZ6pZwwJ4K9XEmoch7zdZ4Ucurnz8
iWad9y2iQX7VhGm6MKrOFowN3jwckA1ntZ26bWkr1+7qeM3zegsVW2YFnd1l7Ph1xGbSi+3xeI/B
eOrmRBkbli8LmDXXSIUbHnfNBlnGV06P8m6ZW6rHjiwQWWlMGt+xZZOuowp1sSNybuoZjYZhabIC
PrDd8WGpwphfoK6yv5qqGc5DWgF0RSpDlxUyA3+GW6EzFDVMG8att+4GWTlI142bi9K6LELeto7V
AfSSDOg4F0Sv6oQEPxSCd8dJxC9SzdmRh3K18HlVzXDpN6P2W3IBgahekcKKr1oVqkWWlfxCldya
M6qVK43JFn6sQlePh12lUOVYkejOWi6sOUGNcnNVESfweHdGdE+3KC2TeVbABucejdcD7GhX2NTM
U2pntxGc4Stc2dVlFfPhCjaSf8YDyz81Ua0usihtXE4rtQh1kS2kJvyrgVjUOHWIveOkzcAVr9JM
LbBndWfGxMP5YNnNbZN51udUFJ47GBOhmbT4A06x6byfvQ0ftqOkPbRpgU5YmFiXvheDkSFxv44S
XM8t1oXfsrqS5ypvukPLrtkXUvf0S6Mt+iViRX8CJxU/DMrAmvVhaM2sggZL4Xn5ZvAt/SkP0myO
dZbOrZh0J3erblgazPJKylMc24d2luVw8FXREdM5cso8yN2sHlo3h4142LHcPhJlkM0zFZlV2hsy
L8oUuZ22KSixUP26xn1y6knkr1Aa9LF7t5cHiYZzZVEJfoWkR4MMuxNRZd48TYTvImqa0mEsi0/t
MkpXvO/4V+V5zcJ4NmWODOEwtAcK8A/lsImrfNigslKu3yqSunYfB2ACEfoUWOG1jvvuBIxCv8KF
l50KPQyzMGe17/RV0V/ZXc6Ykw1tNB/qvjoUKFbHieojp45FdEriwDqsCY7XtE7ZUdQO3RkSrTX3
dNGdlqKCo1sEmVmIMreI0w2piGcYaS90JArUHM6mZqW0P7SOR6ti05okQ24msvyyzrvssAaDAz5Q
JqojRLE5Lf2hcXXNG9cPkmHTt6hYlx5vDwlGVu+UcWZdVrada1emDXjMlFRO0oDZsP0KVNOwInKG
KmTRTDYlccqiyRYGZcmVXcN2SosB3GoVomvbp/2GpmU1o21rX/dK4trpwpw4Fq28dVCBYoZwx389
dO1wrmMh1ryl/VyaXq9kj5vCIX1TlE6qeNM5psnB0mUVGc5t3oHOWyTJISCFP1xSq/SNo7ygOa6N
FbkevPUsIiiLnXwovWWFIroIbTKsIunxRVuGi1GiUxF02B0UC07QEOLKrcP0AnexnucyyuZDEVgL
iO2Ndgjr8fc+62UEZ0N5QRrSJ04cWke+15zVRS+cnJaB20bWrSyNOEQ0+0rqBDlJ1HvHIEY8S+wc
LCfzK30opW7neeLjheeFjZOBX3JEPaZrNyltMQcPMVgXA0tdE/RnuAhzN654eiMy66Ya2GmHK3KI
uzYd/bZyJQOBHTGEl20eDK6Wlr8Ea7WAhWhc+PKjbOZ7EN6pWH61MqJdE5E8d8Kq9Gay9X0nJtrM
bGmsVcYKOk9EAfJmBaPgVWFOwWJnm67wNkUW+G7c+Nmch0keOjlp6sUwRMF3v27YMu5QMjh93TXz
Tg75RUE5HpzEt8vKSXFwFES8OMuyuPhq+XHmwKmefqusor4pGsEvBNK0myWyiFd10w9rHKp4QZOg
XlpBzLpZ7pf0jEo9nEU+1xeFH8bzJq1F73adTmd84HzeCe25ng6CRaKG6LApY2Dj7CRc+xHqaweZ
8lrpIT1CyiLLIU6Y0rM290lbHMq6i+OjKrsG9x596yAc3yBVG9vVmOXnTRlpy8F53Z55Q5+vTB+o
RWQF1aGRNahimtqFEysr8B2tAcVZ57FrGtCydZtg6E8pMtF5xkx+WIe9/sY1+FdOhwJ80ktlvsVJ
INYxDbMvXi9szymzmlzZ4wnJUVo4diCDZZdl9VEQSroJ0sp8yQxhy86U7TphfnPUWn18Y2jkBU6A
AFzgQL2zRhTpj7QSttsAYw7X7aIcg4oUYo1iTI+BQQV2xYIA2+mbjEKsW9F63luGfiaZSOexx1Ds
hE0TnORWfxs3Qn7Fucjmthqk6/vJcMiqJHKjJu0d8PEGOAqDNKid2uraGe81WLIoiZZR0SROwYUN
8MJpu+4hqpjlARmcFsmZXxXDrArTSysJv3aZAUILrLwDnK2cZaqHoBgVXzSJyCzmCbAX8K0JZT1j
4BkvcsXTyzxO82MzJHiltQeu1NxPe88nLo0LWVtLUrVWuoRwiVu3vUnqwmk1W6GayytjlZkDcadc
QBTTOtgKvc8JscwxHIrJGbiK0bZDJP8clXH5taiLTiwKi/XICb0yjBdNzjzmxDG4NNQy2Tl8n02b
uVUedt9jzXHj1LqN1g2ub/1Wtk4NzO5xp2R2RMCzvckKm7u9J6oZt+KTIW+S3KmIlSxMLEq3BaiO
46ZoA0eVhTkBItA/icAZciKaRNVcSlZutM89t9IR/gT6/8NkduDUcKYppxY4dohnhrXKq/oshi+U
mFE/Ca46XRE4uASaoyz1zquC5NdAg32nUdV+p313MdS4ooeCB83Mylq0iMoBLHthERdULbmA739p
jRsEpf7E7KRKXY9Xhzyo7cOhaWqHwY5fWjKniyDg4hjHvAfjomuxClIFsWmE/WvWs8rJwBI6jFj+
ofQ7cQmhDpwnvkq/e6mwZ4WvvtCOtkd2gfACRsGzsivNBQ3pD5FIfdoAqXXtD15z2MStDGHd+mij
1NAuGi1gxXIpF6UfdRr4FVgU4okvognoZdjk+jCqQ1BYrQKnzcCn6gOuDpnFFoYE+AxikCswyPFp
Vwx8XZa8ckxr+LxIMm+bq3hwE91KoAlJdMI7b8gcZkEUgzV4t13FStdv2uxTNlQ+eLgW8M2pWRnZ
p+deaPEzUdr+jEccn6CgIT+Rn2VuHrXFXNehv/ayoD7NWBccJyxmF7SIVOa7/eBZ9bcosxwviKtF
CuZ23hSkmA2ms889r+bLpC1qNzdxvugbklwYsLhO3WXFXKnGXuikvvTrwXM6YfM18fN+YVr9PVCZ
WEZ+ACcWOIJrMKTWMiWqOQZXTqxbmvonlV/G4P/m2c/aRE04S0xxTcqo+FZJU5cQApRBfJ3bUWQf
oaL2jmTrRTNgS1rYbBW+rLHV9a6lMFMnYaJ9DH3HyrJziM4LdlhmQCO7MtDqJOt1cpmlKnNS1qtF
EFb+rAAK65Lj6rbrTO3YA7gquiR6bQ/tjWAQNbAEpy44VRAklU3vDCiOVmmo0BzCiaWFcbQG/Wdf
RcqvUh98Y+rl/hK8wmQGdMdNhcN6ltu959oRnK992y7rjm8FhCBdNBwzbZ+DD8WBOQOayKoluqEq
aY9ozsiclwSIlDjTp76Hlo2yvJ8BFB+eMdvC51WnfpYdta58UL3P0CNCBzNW5WXoKN15swrujjlW
xvKFrbp6jsMym3HjN46E3BPc5XorVTBS5b9Rv9SGAxoobmjUCKmvp/wrqRTPRQj8qyijZI3S5jNX
EPf7HKJbJYDIf3u6l5Ig0MQTiofgWzPge2smTLOvSxtZsofpKsMuS1wuIALo5qUn7D+kW9DIHP8m
GRS/U3DDIeNiT5nlYXggtflQtzfVHUnfe/WPzgBJb1UJ2gCvZC+4HOxt4I0RZQt83NvivsTeQ98I
LuB7yjBUl06zB4KYofVtvSTCp+eszoHS84EnfXuWlxYVIBw5bBsSn2NvpacY0s6jNU0hB3OXDmki
D/hI1XcOolHxB/xeEghqmiEQIkDNqTGJ+nSquKuzpk9ayCy1ZTLDbf6dyxw6tb+1Jf80x0SckBnM
QVv1EmGzGbheUJmevz3Fi5tjLOcYm3pAq4jfNoeKZKux0csCDrCNX9t4jfMM2PKmDb8GFqRayqyx
T30NXGtBfHslPfKn1M7vqgeVWFAfCRWSNvS1nSYgKCtqYuWqXPpIJ47JDXdbFJfHiRWVq7hQ2ext
oX9f17HScuwVD13tkJjqXgm+lewLUi7TrAMrxftzESDxB3vy+14kkEOH5pTA72ACLSifbxDlIzPo
OCmXofFrtyry0M2L5lhEQGi+Lc4LM4EQEr63lUMrTCom20RVYTj0vcyXYNoyyN5WR6QXl4WOrt6e
5wWY0NiYDHoZjGnisd/V0y3PizQmSot8OYT2XCdbSyZuFGduWHpwb+ytjY9/TzaSZ1NNzAUEqtxL
OUxVNwrYu4z6TtoKY5xONfW8bLLhc88gMc2ABNWzkgLFZ+vS+wbtCq25GbCZR5ACWuAKYulUE2DB
UjrEayajYm1IZ638Nhg2XgLOIC0z4tQ+UMbgXJl5gk1k1qJJupM2r4HG6mueuBBrR07Lw+EPglKo
EZ3YZkhljmXdoABQazrN+iXJYBGV1bCmVWC+qDSzT1AjP/Wch9t0qMW6ThJIoiTeN93F/qGIewic
Or7iPJ2HDNIzqCxiF9efUw+8I8MDN8vTT0UrN4MH0WWax+W8ilsgHUIiHE9HBDt+mzeObrBYW5FV
ux3N6RISXO3MGIldmCeaQRwvjmMKtQxRrDy3A3s9U37rDsLvZhQkVLBa2ALncajsa+G12R8OrRf2
GlaQjIQKFgYtu8Rkr3lpU0Iatod1iazquIFvxVkB6t3Sj3SUO51H2uXbW+73zC9UScE3HzOqoOxF
TTO/ZU6bpi3SfKmkoSsgXdJ56WtzzElhFp70zXEA/MslDZUPpdNvbfYX1BfS2tC2DEMtzu/FF9rv
GyuoebaEWLf/2vAWfS+B9L2EHqrR7dtTvSAkZHnBGkHAA/9Nc+iQHAGns6+zZdpooEYbBEw+0MHV
zIoyveJVHEq3gixb77QYmLu3J39BTvCrCFScMSiRgGTzc/MhYr+G2DPLlpWXh4uyzS79zod8b/R/
7H1Zk508tuwfunQAYhARJ+4DsMeaJ5ftF6LssiVAgIQACf36m/sb+trb1a7znecT0f3g7qoSCGlp
rVyZqXX8x2lAdApSAURiUDzH8VlARCGo2RA0Yh9S+ryuvSlDamfsIkL+8TJFugHCFIhRoGH4ydk7
ST0MM1tmgebibEqXAH0hzY0xcbJF9fn6TycQfmh4sRDSUrSSzo8tVgvZR0LhteKO7D259gMaCQB2
tSCtfmcOf92AJ/M1SEoCKPEw5NnxpdAg5snc4c286JET71k5+tpY8shM8k4OctrLP+enGAr8HBhi
hjhe4rOhOsLrtffQjSVSbAgAk2yIRZ6KxeWuX47AKt7LRt8eMUMqmp0IcPT8eIlkSofTiCpYjm0m
X4Y1eCRjq/KZJyLncwhJ0j/b4xFMm/D1TlkHRjxbkbFG3TFVabv35vmIe1/3UdTe1In/zjC/Jjan
YcCRgTsUso9zZtVCfVvX+NP7xQu9Ry/to4O0OBF//zK/RhGMgmtZAkRm/2Qs8PNGtl5o+6YJ2v1I
UNai3CtEM39P++SuURO6atQVZB3eiZLhryclRkXgSHHvQYZoeTZq1bkpA/+l3WfxCihMZKjFe9m6
K5uhVed6dLL0mokw94ao5UXqMgns2093k1XsINBM2hqkRW6N1X02t23JpERycEoL1BDGF+DGJE9Z
aJI9m3T8ztO/+WFwIzBWHG5phiDy5ylDX5ILwJtiD4iq3zRr1hw9C7Dj9x/m1wiLKQKvMoU4PTxd
o/nzKF2kcIywQez7KRX5MCx7vw0eaTq9l7W8sWFPt1+BVQnBGWrYn8eJU0F6qXoEIisJutkVP9jE
t9vfv81bEShBCgBxKYpyzN3Po7jGDy2bvRYMAt3kS4pjysbztNFafFma6J9n0agZQRPFkQFJj39e
odKpThawLlrUjtXrae7GOrnrxur592/11uah2O0nJToKg/NlbHXbB27A5hF1TG/bNQDOXsWvQFyH
7chi+tUI2RzAYtHvHFVvxTwwYiPk1aAM/lL0AD/xOYmWds9YeDP13otr2FY2H2TjHhCu3xntrQWP
sgemJCe7yF/YggLvmCZSt3vJZLvrkji9M2Hjlb+fzOCtNYJJTGHJEBDQnM/iajaHdo6Bu+3pbPwP
NfeHrQfGcV41ZBEA6FPz1AR0KOZhWm7U2rfXsUjJjlMQu9wqE3SXGlkGqpo3wlA0Zee5ea+6Dd6c
eVwofdqZuHLzPPEZK+3Hputw2tgIWOGkXoIpGwpQS/ShTunzbIFOpJIDyexJ/aE1iz5U2fCZo63r
EjkdpemiA1CkLE9WT+YZx3v8fiLfmEc0tpCCQhaVnfLDn/eaSPEMtUW6bXr3Kl0wbX0JRlUl0MRe
X34/1hvTgeuzsbHjE2MVWffPY4XBCutrOiG1r4JXH4BD2cX+C25D7/dp1jcbcIandzKMNzYdBCtB
gowGJ9Yv/OZlFKsd2YDXa+KPsC/yihCte4CZo8tJuKonNRpVoiW77P/5u54uDzkhUkgQzyNl5GXg
HFE97FGrXavEjKDnijvQklnOW/ZhpTHLfz/iW18SUwsYIMT1QQhlZ7OboOWgIzXsPZ+pYg0WtCZ7
Mt0ZlXX7LkEh/fvx3jhz8ILIoQgONiSLZzuwq8YIbgyYWrswULij0ZS+GlRJQIv7nwwFyxzInJEw
0vNDVKZRPXU9SrQgG/rbWCiXj+mUXNRzELwTvt5aowQb6qRDOFGez9boAl5M74AM7HU3P858+BbH
6lFofL+aqTs699M/Lo4QwCC6CGHkBMr6+QYMLAD3ULt+70IHok9q7sd5LCVwgHcGeiMwg1vs48oU
IM+QcZy+5w8MZ+kMaCAVSkDB4mdm7Y469fjOkiD4G2cJ/U9jnK2JzGvaJoowBli9QR7VtTzqWMf3
4ZxUeSWMxiz6Jo/NKEudNOxpMGMKxgAaNjMdW4B/MyhRfY12T2RBgyFBsDF0FfuaTOPRRRG/CzNm
i35dqk+V9Ptdp8HQQHW7FuDCVQceU7C1fWtv42AEYa9BD+/eZR0YF32g2+3Q6XHnL6rKUEBZdtMI
H9nhUNd539bjDbcp3wWjXg8iBk9rIby7Wrxx2dM2e6yHVheY4XbbASsacw620B4MpS4fjJObauYx
GIOtuRwiUhembubt76f3rbWJUxw+h5BQoE9xtjYTpdW0Jlib4Aq+KDu9UC5vIuJtSTdsKs8M/4Nt
h5wbyR7gezDjz8aL+dorwtZ+Pyl+wpyuTdgezNS/k7z+CvnB8wXyCQB/wAiS7GyYyLacjDbr92CS
3uHqwBHEIfpVtU/oRF2hK13McfiZjf07JRN5e1ygtJhRFNfnCVkmO9VJEwMTGVb3kVsfKqEx8u7A
dvfFBo1z1Dgq7qrN1C6qFD2YQt7cI5CrcDnEoPrGjfEOxJ+9bTBFfVGBHYYFJ3cQfqCNlTVf4mBB
oW7BB2pTx8psChJgL6krWVA9hG2kC+pilbdTE7X55CTbNHiechLyG4jfwW1DhdtJa9QWii78752L
C66nZpN6afhBkfi9T/FWTMc9xPBlhB4BH+Q0ZT/EiNrXcde3S7/3p5eV0jBfjb9rg2l5Z2W9FYt+
GOc8MVrk0okhM/2exsIveuANRcf55vfb5a0DMSEpqtUQ/baEnh7ih5fxVSgHFY39Hk0nWqxxn6MY
fx5aDmKtXt8Rnb052OmKASS+ULedFxHJiGDUC+wVjycdKlG3WyK5BQ0MhMqpfmf63goEuBIcCMZJ
svdL8ivWlSQNqBT7sRnvQp0mRVCtz4MYv001xFs8eWcmg7fWRYoqCQUstFQQa/88lU5LgflFntZY
wSH1CIMjdaM5hMDiy4F4fB9JNRVWZuS+9iu+XxmYzQwawSvKaLvNhmh9SqELAEe7YpF7Zz7efDwE
RMBIwG9hKfrz4xlbaa/lSHOMkt9Ixj7wcHkQBM3k36+oN8dJ4XiEjDI56WZ+Hkcv3solSDl7VKIS
aA6u7149U8J79p2D9K20FeAU1Gu4KSbDf34eiJgMNG4QsPYTiONcg+dm+rtxiI8NDW7EoB47kb0D
VLy1gH8Y8jxhbVwkQNTxu71n7I7Nw7csEmC4JsdxWN6pOchb6xcVKZpkSB9RC5/BCJOhkXQ27RBm
wvXzxOV3U2dJsYiAFoBvWeFJry46RORNrU6EYy840bNGMH+yRT9HAFWeK0X1fg5BW4a0BWIDPo0P
zGVDSXshiq7SdGtTQz/QGFEzT3oN1oSnbenaE7Q5hN99E4LTPtDSSv9zM8zX0CTKzYSUr6aLybuV
1Ju5W8MHCeYlDvswfmc1vTUL2UmpC4gD6/a8ASuE1LoHSXnvpDu4yQX55EfPsYwvgJk+T/Vq3hnw
rU98kmdAMZgCbD2fdtkEbFVIhva1yjyQY+ZRbh2q35KwSlS5PhFTf79h3nhFnOsntXEGIc4v1WWW
rLSbQiL2bcaiDR/X5KrnyNDWZtDPzRi4PXhIX34/5h98jbMkFNybEJOKLYrS9mx1MW8V6MyKbp90
Liu4mZOHiAdL0ZM1vuCDEB9k2NGyiUDZ+oOnTPkkPnSzmzYTuEQ7zxhQZt95qDdATLASgPqconb6
S+3LbOxktWBHa1eBz0ZYtAUrjWx1NepdliYkx0oBfSoWm4yNvFjRkwH9OgrK3z8IeSOGnXThoGPA
6wuNtvDn0OKDGpF0U91Bt9wQtEZO5OaaCHcHgmUfX+BzpYepASUROgudMwEQOfA69FHrkS+3hhh/
u66V/5FHSLzDyfkfkRb3O26wpCCbaLdg9sQ78HK/rWBkImQvmyhp+AaEwagcvX7a80SlG8vntKTs
Ihxa8tCS3t5g20KJsmIjPHM6Z0fhp5/8eW3fKczfen90wKBBT08d+nPgCHBbI/RE8P6itQ8c+ty9
TWz9XAce3/5+rt8aCuxLcA2gRsexcXZqoumkVHc6lrKB8FIqepL0WNkeMy7Y8+/H+uO7na/6E/pL
UL3iGDwv/3svEbPpahQHS1zRfELDGIoPFwW7Sg5L2aciuAgGv7qdbGiuw9Bjd+HkZUVEhNzJ3h8P
fzzQX4YJt38O/afy/+sg17FmfDr75/99HEAr7f7r9Dv//pk/vBH+/79g9jwOevg+/fan4PF3Mn3R
5z/001/G6H893cky4ad//OLf8B8cGu6/aRD8/8P/+d+0b4CzAcLgv3tEv9g3HAYD3OwHv4c/f+Ev
94YMHn1wW8DehHUiFtRfzg1ZArNFcNMAYcEcE8k5Yvvf1g0EDmLA4k+9H2Dlfyyzv60b/H+dnKFh
wQ7lNOgh+K2/3+2nD8i+DX/9+0frBuC3iA0/rDEAMCAqIIoRZEBwVCWn8v+HjHrtpmnp05oefdXZ
C6/RsjRt2N5bVPCvXb+4g6mmCEJTUK1BaF2r9pqQbvwE8ZmWOTi83m3AUh8QmFyXWxhBVB9aF1bR
haqt/cqnumGHQREFbjqI3V6hIHnczkGVbSor0g9rPJk7HFoQWYxrJ6CLQIH0uixrfLmomX7gdmjG
3ImRdvmEJsla9oOFMoCYA8+i+rDEi9g0nKgZ+UAWo+bvSPKKREV86/30wMDJuG4yu+DsVdF9Cz6p
K+dFVt8n4rob5i1XrZh5n6993XxyFVEvUcWWZ8tUV4Sr5t89QiTLMxYrlY82vZXJknWlXYm+bWJm
r1w6BgYEx2j9nnaedzf0jVnydAGHFH276pCgPZnkDOTHOjcDiS5DDkAFaKULoBHFqfSCGhEATlLp
TbxU/FOAg8QWhHZ0p8E1SfOsS8TDGnB+M8fzIR5mkDlrI9gOqRE9goC17PwBvZvSdR0kXZy5eud6
LtJ8XTk07gMEjg4IZR+wso+G7HUNfAspMB1BjudimS+SbJyKsGrVca7a5sQiTRwI/0MCQYbNLkYH
f4W4WZM+9zNJr6N1yOpthSbO/ZJ2IHqtfNi3nq+/cK+iU5HVqASLCGj3gxJmOgYp9YohtJicTECL
48le3AQpyJE5Za5B63Qd5oLF6fIRZfqaJ2By04uAD+AzQ0AAXmPF0uyIjn01layDjkggyboBZXgs
alurFeesVJDZWA5yag1N6dSgD50n3LJbOsnvGn9lRmLqVF2iozB8N6wVUU4MMiWoo930tR9J4u2r
iooPFdDzw0J6tXHQKJGD7JPlRcLh5RaI71IOso+3kFAA42qIIluI5wiDricwN27SrPkAnXRlFwjQ
aD2ITeC8CdKlYKnv0bDkt12YrYF4xdcNTVRAnFhjbm3UcxBjfAeOTH3tJ2lXXTMoWMsugGjhpNX6
ZGKTQBUUhE+MYoxKq7IR7iHSlm1Mj8vniykIUORXfSC33lBB/4kdWixoLR7XKcIR3rUdtjcUMCuk
TZK1JoesHtrILBo22pddoaag2ja8XXMvncJNbTOkEox0pWiDi3DKoDH3weC1Q3QPKxgwr/340smo
KlZ/9DdI7Nd9YhXmfbZWdvkSrVXZ0xErMOqVf+3Fw5qUWs+kIHBa2daNm45hN4L6BETvQGxmLmfi
6tKort2peJ6nfOicuki0mo9hM3f3a9BHfV4PSbxLmn669zJ95zg2Zjs03x0lT4GHMCBo+0rHISqb
JOH5UDf60ZtDcS0MhPe6V5BL2jh4GKMWUYt2PeTSOspyHxYIRdWGPG8Mo8USRlO+zO0tifoPWTSK
gjlsbG8g+2Zi90nS802HwqaoVN8XTe0vcW61oPvRJV1h2+Q024N5RBeDl/6yZod0iNwGMuhlR0NQ
1ZITVQfhqd2sEVQZKRhw6JZksc1ZpOerOGv9jbKNvVy72D0TEUUgdEN1xlvQKi0aTMd0ntJHkFnm
C2kSAWIz04gp6YDYkddx5X31nR3kqTfhbiDoxsz1rLl1C2JjyyTdDwBf9zO6Gpcm8OCDwTSz2yp0
cwE9BeSvGg4AUBqp625e6l06dvSiHcMXQAorOHb1srXo4+cwc4CKUy+wByCYFKj5ebupHOlFkTCB
2Q5Jg41KvSz7WtcrDhFKFiBtNRjLBTTI/WUdc33TaGpeFx/y2aVv3Q45q7/xIb5CTp/O21HT7qOC
tuGWT0yuBcPn/9jQeBvGs3cdt7a/CZa5Llfw/x/hsiK+6zWaPqUBix5SZfs7pTjbrIHyt0JG89Xi
Jnpo/EjD5qH12g3IERBLg7syP9QRGY6Ua/JCNJY0Ej5zaUMF1COQem8hc7/ROm4L6I9m7CqzPrCg
Sygq0aC+hgJluvSzarnUsaj2Po+bYml0W0I9jZAp2E2Q6WZfV15967VzSvN2oWnBEPNL0kxhmFcT
dzDnkHzbtU13Dd189cQhnuR5J2P9ea3Dus2dt9SX4dLqvQ4rKMxcYL9009wWjkj3CHleWMABIR3h
5ALCap4q/aSYCS8dr8ylA2OQ5SLxT905xe/jZA4eQraEWzegf7pC870WyTrxZ6mkviUOGl6uB0g9
EJjUHie6feGtEo+ER6nO5ySwG2NIW4DD4qAamKdjPE53E7SezYlqHEzTR18lWQvoEXy41v+4egy4
0wDFWv0MJ5wKDZhpSGacRK0P6yg38CXMezJ3mzlIVLmSBY0D6Vv3Sqcl2UCi2xfjWCMEowkO74Fx
NFXO+DrvjN89GmvVDopotsEiraAP1KKcAeTdEajHS9hgHGfmyVIl41+sg//Nj9/0Gvwx3UVD/Lf5
8cmR8ecE+Y/f+CtBRs/xX36E7hzqV5ziKGP/nSQDZsC9hji/0N1ChYvs+e8UOfsXaLa4tgEuRnEM
cBZ4298pcoDr20DI8EMCdhFwEfJPUuQ/qdA/psinvwAOCchRBGS9X/q+bVCpOU6r5BpWDiAbV71V
F326ruHGo8Eapzj+Q7Cp+6P1M6RqrpZx9gXuUt/44OKHKG1JXAQDeQT7xj63qVdfIK2zEzwnKCAa
5BeI16DeAufyiFtxrImQqZwziBGe/B5y/LxfakG6Cwju9W5ZRNNcpyHPVA61At3WmveHrlpJkTaz
Krr1lOcBZijR6Y23vEaPctNk8x249+hwNb6BZJ5IeanncNqtyaKOYTaaVxeIz1E30dco0/4nYYZ0
58tafh671i+iuANNmegXuOMEeF/KId9Ow5FfuJXbvS+HaIsP5V33jVfZMk2XLfcpRNrFmCG0jGBE
zFDhnDSTkDSFtWluPM7D52W1l9EMRVdQIyXV4Hzcr7of7qGx6stl8p9FXGdPNrbrje0t2ckwe7aW
JpsFRhQVWbq7qPHUPprH8HrsOhgcUHLSNdX1ZbcMBtQbXl9lnnjJJmQUmGu5iWXSXiDFyHZi8JYv
uk2rw1rFZIsEWXzrRA0WLSDZbyQIqSqoHsEiDutv8xyOm8zU9iNaa6bPGQqbXEnKCtUJ+jkMZ5wi
aQMHDTo8d3X3rDwM3SvpIGE1y6dq8uINDE6GTdTWKSwc0q7PU9MvUJfDXCnISZ11D6mzUZJXPpeH
04p8UotOtjSoap5Xs2j3aTgDAedpOuHpl7TsvWUhaH6SZC2lQDmRJ23A7qM2aG/XVbubynAk+eh+
X3ISeujV+jbGKGTYwPYz2kWNAD+480j9YBItLuNOrpd8TcgVDtEG8sbK3JpRjdtea/t1OvULcmhm
p2JuPfk9A5drBgMdgESXNuZydFW9t3GvL6cKIujcJoa98lB4BRye4j0Pph6eALNMoZnLkKvXU+pf
m371QaTInMjHPvT7QqHCyhnV8wdi19lA5b2G25a0CmpnP63LkHGIH3kYF7Be8RokiWF2sXSdbfIJ
Z3tfLApSx8zYy1rhoVKVoGPtVv3ExrRHXooU7/swuwFCUpHtU1B7L8fYe01c7OeE86bJIWtMcjJ6
JoTdAOsKIoncpo2fPdcLGtAQWl7A6KC+7Si8mNB6979AYyy2YR0kX1tVOUj6u4UXycIhth+9OB+D
yXxEw4Tg0K/SEsTSajtPAyyi+tasFwMkWlNBaYXEI2mNLLvK45t1Dt0t0sJh41TWF0li0S60JDzo
sB3vhR8DkhNm/hBziLTruucr3IVaL08zVl94kqzwisloV1C4GeUJEhA/D0Wmiy41KnfjsqI4WZqd
nap1UxvqnhYLheJiVLDl8DcveQaR/zhF1RWn/Xib4CQOKjo+1q2X3Gdk3o89cTdm9mFVYdNjPGNb
wwgqtIe66syemmS4bToA8oEJYMREJV0fWjRZrpAsho9hqJrPtR+o0kvaKp8NWk90hYPRoQfM92Ab
FRaQERYEUP5VB2cFvx/MHYvUeLk2sikQPP1rPeNzD3EP8mhXEwQF1ExQtPsHp4LXAMTtawnexyEM
lvDQ6TnJ6wDCXchDoRHGR96NYcXLqpZg18q1yteQTA8u4+s3SNpl4bx0BazdRXfpqroaXxHSYMDA
vAjquN2BZiXLukIg90M3XdR8tk8Q90ZbJaFdTeiSXPkW2lXwacwhY9yUVZvRT2Tw0UuTRhSehfJi
jGCdWTY6Tj7hEHR7+BF634JGeQAHOAFmHM3fm8obrqO4Hu7hbxQUEvSEaVD+C3Md26hAQLI2LCgr
Fu2htKsU/wTeyXQ5duL+xGk/8izpUXSN8iIUbLp10GBuDWwKbv2gzm40P3Glp7lymwjuArsugrop
JJaWMD9byjnl0TcwBpaNSe3XWfClaBEzRV61hhdjEnuX3IMVI4St5llaeMJEgXT3CTVZOZEh+TRT
jr2BEr10MRWHoG4tOgazh4DFTG7iOvrcigWN+lTV1wGULzvnD8GL6VhU2sk9VTNCemjWcB8vkC3l
vlfFD3Ud2FL6jh5gm3bv/OCA7MEHDkOCZNP6Kz5wD/FtmdbLnZEte/YsDCVQRGokoT2/BWAMB1H4
ZpgPPkvUMSMqPTKQLygiaJXtETe9Qk/+pU49cu/cfItkcsoVuCUXMyYMxmzz/NisYXeEACLHlqh3
fRb0l4lj/JBR775dMyw1Mw40J+SkXewZ3dc2mbeMTmKjkd4WPq0umxacyiHR86HyGwqfFB8lsARH
EBuKb+cO8go2zTDesELBW6LqLhmMYnAUVeaF177ceYufXLhFp1+DVIgvo5aoiPR4p0kXPzgaPflr
pK+h/FGXSNPTwzh5DmB+CukVIJcnDdeCY5x0L42DwQxvUrZVbT3slhNOPzv0XXLrMX2E1c68iWoW
3WvWD7dOxW1JcXItedPcBUyGnzzTwx8QpzJk50G1PAfww9kLt8SXnawbmFrAs4o0CnWCf9Mm0Qfr
mQg2SJ3Y1D1MKFP4YT1mlMndPFF1I+kElxvI9Le+qr7RliEEQrK9oxpccIOkfq8H4S55BLG8jFv2
cYF2Lk/1MpTSCcBBSey+xyhT4MDTF2HbpA9thUeYgnYq8HzAmRpytSCqbiQPPlc68qCwivhNIwd4
CnnrFXoIl2sVRE8CpjBHBe+/TQTiEFyIOOAL21afx3m1u8jW42fr9UD5sjmDKRaoJKkBU0gk+rMJ
EFcyvwu2DOhBe3LiA9744s3xWo4r8fOUNrAqQEUNSY24sNMFzKAiuCoM3XIdiYEVnPpDweHK8NR4
Sf+ApKq96BXFUR8HVZrXpkXJNAxTgJYTk9cCXagOOqcdtf54ZYBelL2NPVh3Rd3W5yGDaLFH2AGg
smdVU8eI+E1yq2JpDzwSwdZScNXWpokLE5nPOkCshb1rLHfGBO5GmhTMl3gMjoMb+21MjX2ZKXCz
XCuHJAVOLfCFEAzuEsmqojKGn9jXvuXyc7IuBcwz9EvHsqrEg3yH8ZvaNvBtAn2292D+pX1adE3r
7RnElkmRqrZrAH+1/RWMX9uCtFGyMUsHpxkvYq/VBBe9CKUxjrRknABE+Pa+bZsb5L3FVJ9IYGHi
tj56JRtnquAIrzAGEhqyTY6O6r4inv8dPZ44nyDiyOfJDCWMuNgmqOHzg9Rj3GjR3sWpawloJqu9
qED+LVQPt0Ifn/rzEGi2D21VbdJ+lmisrbo9jhoejwxwXqmMmKNcAef8CLvLMdsGcwpzXOffpRIH
EshqrLkOzBR8tTIVN84C1/aXUBQEKNS26h18jB6oreamKquF8uFrPXcLLGkAWcEgILW8baNjFdO6
vZgszYZHsy6YtWF6tR6cjLIemXLejAnM9FDvBynapaDMljGMxdJy5awvvamC3QicbO03mUj+aiDY
gE2bjj/id4bPHjPV9uREdIAFIxwlgoXa0te0Ps4LVVdK4qcHnQyfCHYePLPGLUb0rtosU+XM1nBX
p7EcciZt/zpWPgDE2tJDEgYOOxjF3HU6J4+Oc5mrMU5eI3TPq9ylTl5UcWY2scvG+7GDyVKTdOPR
62R35xvOy4QMMNcYuJn3kZjoKRqsJbK+EDALUpjQ6C5nQK7g2SuiDToX4YXf6+g4+iNSAGhuNlRw
W8bJ2pE89TCe38rhydZL9AyDTEBwupZdiu65F+bKF4A2MHP3BrLdohbTCjS2umENxbTCOc8+WJOx
cmmANhTT7PyrVcLwoZngqAa1qlW5hpJ/Bogt6Q3FKQz9g1XzATA7cmQt++5ou6Z5ZFRMnyaknqiZ
9HK99o49APrTW3qa7Krjzc4D3Yzlcdjxa69aQGAdehgOJbP0D2uj1UNVdf4E7y386Axfp0Orx/4e
FnQj/CoC9WHkY/AxkFR97AcGP8nUv4xCOFhCmeXDLSaUcs77DG4+8wLTsayTDwu3ui+rSvbp1Wx5
dNdz9ZK6ETJWsD0YXKi47wpqfBz7NbwszcllM8G9Nat4bnzZPNHGVMA7swBuHjMcTVAKTU+wRQHW
5wWkkHA5vtAdk2jrsH4LPSg2oR17kIGTKV5zlB7IdeDBGZYVj80Xh6wPGb+HNjZsR9ZbldKWwypH
1Pcjy5CJKTfC87qZww18I4NNCOXQwcBd6MBhHnIZ86U+wOkjvRYxKofUJlhMvvdF0ME9cQYTqhz9
OrwcWRE0/Lhdn1uECmDwi/EL16TuxlsHV8JKp9pN4SLu+1OeRBzW1egAGANghJlJ2NaFROZbwCVx
2PdNFUB5G7AB9ecpkQ3i8TI+OWjVvR+fIhjbZKsy6HbouunUxwFkmu4Gph6abARIw+RKBTgF8mXQ
nBYQtWkffNsoca9wQffNLRydmn2CG4fwB0Fnep56K+2jM16D89WbUPBOt7OvSRpuZtjjpBAdgJxp
LjAlI6VbmEvxpCA6GOY2/z9dtGgeTZ69dszuKi8FVVp09h0SSXDGhoIfMxR0uJQsRVYGdOfU+/yx
7SiVNQ0Mts0183RcwiiF5wFsg1LbHTxKy4p9DjuyW5rwSNp460XjNubBhqYw4prdRg/TBq+6g9FV
2cLN7Ads6o2m6FmP/89ng7IjiJI0ga3AWY+/CxbV+xU66lKO16lErljt6/cIU28NEoC0nUK4C5XS
+QTEzWRR9C4GCK+fn/6beGLbp8OffIX/hSTfgSRRT5y+239u2f9561n50g7TT637v37x79Z98q8Y
LXYf2jjcHQXVB9rnf7XvIbEBaJngopvwxASBivEMm0xOnFHksrhl4QdsMsZNDkBI/n0nQ/BPsElc
5f1T+x5sH1AEwHgBfxMCToCTZ9Qf8BCkTmwKaB96S+Z28A9ap6ocsKC6/8feeazJbaRZ9FXmBaAP
ARfAFkDaqixvSG7wUTTw3uPp50RRmiYpNXu076VMFTJRmYjfnHvv2l/wM/N2HGVsXSfXzlofRGF7
r7GFEgHjimM/Ndp1xFG8W1ut3MOS1RQQW3/haXxMOnM8uzyYQqvwnKt6rLTHtuobvIxi7WpIXeHT
ijqPk9sszxlebpU/1pl2EE1b+2VPpe/02L7y+8TeaNu08j3iG/DVwoSA173g6R0fMS2+OAAFDCEt
dlVtdI/j5O3S16HkPvpW2YhjSxdA2oObQyE4Z2FRD425FyZx+3m0xRyOWUMNOHVZ0JnVeom6mKXo
oIfLpH9K6Mxo23r8JJG57ld92w523cbYDhoH3IiqV2+dsl3f5Gm4US0US3eLoaW1w6dv+IiZirkv
ZOkGjd3gd1M6XL/E7ZQ7ZYVD5XrHtR/TBxknNdta4LcmN7xgrqn656aZkJ9mt93qUTb2WCWXGEn7
I5Nu39IRWyYoO8I4ZUA0Kw/zqS76M8PBSyK8yBdm+UDjMO+QGh+8cjw21pwjuDCAFTxWuBb+LaER
6diIZyIA7H+xh2kNpkG9iSYfwoG+OSzWMQ4Ybzm7wh1/L3svNKkzz00l0qumS9fANDDA3+ReQ5C+
tzfGrmPuaFRJUkLKO0cv8s7DWuuBmxsN1WukvUBR1j6MvM1zmH7ZZN+75xz3fA0zvJNB9fEkM/jH
XjA+kEyb4McEq7peW8N+0S3OaxuxnhsflpFytjUda+eJ7EOzNGAjmntaqwj6wjapIvtuxtM3PiTm
CAnRsuYvCm2XZ+0TheeLu2zXmTFLP6Yu3msVViZC35KDbMqPm519QMJsHTLc6rGmnJV3X6adW8P7
Ym1aFrKrs0M+E0iBFt+Z+Ui4XYxELsOoMM7XwICgDPJ4CCZXbAHuuzomivapNTLxYbU2EeRdf7Vo
+e/bai3Ab26zy1hlH+2KkeGGhtlnkO8FaZW1IZ2ZdWQMSwedrEugF/y7XHTvMN0uw1zijgXNOmGg
t7YH4fIXrIk43jsZzpWRmT13hhNf8Lgr96b7e8x8/ozZQssQ2dGe4AlLrDudxAplkaYP5ZS7QdU7
mBjnyXpoUq970iuqFIDO/GGDaWMJv136oSv2bpbPO2Zgzn7LxzIkzkDuKpIL/MHQ9LvU6badDly7
E72bINnIjTAZTOovmTknYTDdT2N3OhpGfBrsybjq8ccNNSNpnkcb42z6QjM0rEzSuHtziGyy9XWb
4VJvZ/rzGlm6P2jC4ZvbbnuIYRl4I8Rst+XVY66Z613UjPpZDP1s+x67fAQ4IOE7p3FnBkOlg4d9
le9Muq49L3W8lhh88j9q1wSeFoc6d240K/89nfBRySomT1PLqmZ0Jy2UG/ez2Xr7KJMi81NT/7pE
CdjwDI/dTJtBxzE86m56whjKgYuXqc+S/sGJsnY360zPE4+6fpuVqbnFBNBovU/jUDykOJFHYrwr
EJX5rCHIVEi1L+jS133RbVfdIK/Tmf+/x89mdjB4BGio9hKn4KBkcBOuEfuABH8g2t70Y1szIIvd
7bGHnjnKKaeNY3/kz+44BALbI0zUaHq6quUjxejushqSiZHx0WvNBg/fTFkX9vZjZOBdWkpvN64a
CA9m9YvVfpl66Be5rdGNjZPMQS+EONPI53tmuNMObxpGZUMODuaV7jEx9du6MD4gZb4mNSA79fby
4s699GXqDEGBeuE06mn1hO/eaxEhHGwa+cVJZkxAo3QI5rh4MsR4Ja2hu2lc45ySuuHbdV1c1IQJ
VvGuSCJaDZMSN2rbr1036mHqWZFvb2N9QIGWhpG9ZrsWc7prZdbF4KVzcVJkWldkCEHM5IMH8Pq0
Wuuxpne+2hyGMBOKUIxKiylcXK5YbdtTO1npHUbT15ngEFpYWPn57PF9FnGx70abGBsmZ02OS7ND
73G1tv0Ji7fGZ9ei+QzjDL9IOF6SsnXeQ5y+Iz1iPMpVfq5HatgEt8k9u7X5wMpK28e44AeynLzb
oZju9Jgyv8VGjhc+Xxrs9YPBNhrg9oc6YyeBLdGeuAEIeMdiVppor6NHw9hqy2cTT2aeheN4cqet
41nDpmqNIgf3viU9J5M1A9XzlJtdzSasgKWiWxjmId1Mex/LGc/cojExCGrEIZbZ6zyl9glK6Wkd
+qs+bzu/0eKvOGLKc1EV0V6TWA5ZjSP2xPu4O0Emxtlt6IVqvFr9jafqvnO6OpzdFdjjd4Zd1fCM
qDOCqcCAiZXFcZm11GoUKeHW88sQTaXkq4ixZFb4LZ++0r3F9tebG18mRq6+ZHVW2r15bI0aPxuW
ho4RPZsjgJOTQ7NBgcQ7HAV5eiPj2uhc1ZQ3sh9Mq5RO9x6L7mqrzrib9dILMnARBhRVVqRaUuDp
221dd3mrGf9bXv+H8tpE0vdLIvZ1rQGT4+93/n/8zJ87f1U+Y3sjHTTcOmt+Ktc/K2uFA9hoZEzl
NvCGzP659Ld/0wVrfTTDqACUePhfS3+dpT/8N1E/b35wwNT/hIv9oaxmu0XVDouABA/fFct7I+6/
o2KjcWbFE7XzzVh+juFHkuL375qNv+kxuVk/YLc/X+Cn/rdbsDFrFi7gZo6Pg4E/eh/pMVPEDeXn
X1/KVj3A9/yCi6bMZl0NRk7wEH03//27N7OKXqBBsMQlswtSVBr2vaQmOUwIXSNv7Q99tsTup6SG
3dTZ+VOnbUFd2GtanQEj2rj8XINeyfg2Hq2E5dyBAls/rNh2IqvhkCyvx84iReZKd6j6it7Lou7J
zfT1yiFpJXpa22GfMf0/I3MUd1lbZ6m/ZnBzQKeVoXiwzuYInRwNMfE8mR6UDhYvSf6IbZiCBxyr
mmQd8iJKnNyd1cBFdzTOnWjS53UpxqsCQkPicsixsC+/sRJygJWzyVG4cZnozR+0WndY08Ts8dzB
6AJacsu8tVj8bVfZ4CXa46zztKp2OE9HntYEQ06LHh1k0QFd/Pep8Zam+J+eGuAzfGP/fVP+qOIJ
/+evTbnibvjBfzXlHJC4yRG58Sf68+ejQz1VHMs1LTISf2Lq6byVR9R3TxX62rc0ROM3CyU0wx6l
KWX89o+Qer4qP33fkBJSKfNMc9BuMDpQ3/3vvm+ezkkYRa12ZQGn3bsK7NwU4lkq2BMQpidZYTIe
sEVkZ6ugUKHwUL7FSRjnIKOrgkfNHo9f0Q4uHbJiS+leK+wAAU6lQk9zGNS4MY9WjpA3UniqBac6
w6vOClyFfnMDTcGs+M6BtfYArvgRsqV5o15bqzAeB4XCNo3BF8eMyxsLp5KnysQbupeDFbL+KD7r
8LSraz5n8LVY57U+eTH3qwejlCkIt51teFzwzvIBmnc80w22V1DOE9aOCuKdFM6bFRVrtNmRp5Lc
vF2msF9Skrz9oFDgjLwmJ4y5nTedgxeVTwRCFE5vBLF8o4lXBRZvCjHWFWzc2K19rXfusSiMh0YB
yaZCk0sY5SpayjBT2DIbVmOXK5S5bUEtBoU384EB+VDIc6vg53TGsDoHh+aPVV5tCpGWtibPTOId
AhQAqEdLNvvFiBcKmTfC2lawNYl4j61dteG8Ji+w3MbzXNrOabHk9L5SuHaiwG19NevopulWKFYy
g9LOC+CBhH5FJIm5PYKb5/kIdVG72qe8WITc/LoYtW0/Uhx1/ljV/RbQK1kQx9bQDsROZOtDa1bu
jRd7ukaR1+Lc2q1TOx9Ko++OhrSXA0xRBeYrLHm7lAqQloM++LQgZTL47tabkz/EqX0t804PMrEQ
I6Dlm4ZQHVFD4Wejld9oa0ruS6iVy8I8qf5WNdV/FFH5t5qKX6QqrOZbvSUBOFX1pSqx7ltV5mEF
r4q0jpywbL6Phrw8VN8OEVPilz7vSavQx+1gbU03PHj9aqzO86yPvf6oTatDnQeXXJQeXTijEWPP
LNldUkInHASty2VOq7Vp95TP1RiIQhevNQOl+3lpN/RmWdUaisbJSI7Q8LhE7MnISRv73tulGDS+
EKqgjNA3iXn/4JTLJVd1BbuPllSTuN3CujWih6pIOAeoTyj92dInL2So5eWNxtZfBIBS+u02zc60
LzQ5Ew/WJjVw1FBV5zUTybGuGFSkmzTjgH5tfeyihPbT1DoYwLTwUFS0jvmhTSwjLOIyvm2Ttb11
2tTdDRPwiZOIaj7wAvTLhoR/V8YtkH1VbEf89Zo7h83OCz0oToiyFaivLRZABckBojsZWYZrhuvA
vjZSY1XQoxyjb1nsUGgY2fq6qCR/cjp7P7OJbmW9kRhMo/rhYZxkdde6TUzcikWcwmTfehmJVFHR
LFdN0aCYbbV4e//fA/H/cyCi2jR+Cc7efalIxiqmj1X645T62w/+cSBK8tQR4woksFTN2BX8i591
9d9s5ViE+QM2HKoK/NeU2viNf+Vgj2bgCoEMjNnyHyei6f0mOcMcdK0Y2XCeWv+kmP7mg/ZdBYoJ
u2Vhi0rpbkmOxZ9tG4rS7Ley0ZmNySpfw1HUqaDGm80bI1pqbwdryDKwLNOu3M+D03o+j7TuZLk1
EUgbfk4ZQiUdZWPbDwVBlMwPNb/HgzTsvE/NNES3s+OsV6Cvemil4yL8rcTNmUK373fEn1jh5hSM
LzW2XAjEMQuj3kwiYey6LNkOmjDql65fO765LWE4hDljx7GBHhmQkb5VyGTXeawzdyzZ2sc47zgT
YM1ahmogiZivoXxgfMDk06+Rp7IFbbw85MEVhYjLjinxNF80IeJP86all4WfeWevdTaGnuZZ1wm6
NzgH2et8mU2PrzE2aMau1mb7Dh6muKIkRiVVJ8Nlmnvm61G2EfwTEVGDE9qCkUDE0EaShQuVBOKw
KA5U68hvKMrSQxfSRCwPC9t8djtus9BkrsJtEv1cOfG4q9AVM8Nr453hcedJmhDnGUn53aCZDrFy
G1v3rYDlw87nNolc6BTEHtUZ/xciGN2NfMM5kXuAUX0gf6e8VMgu9N0qHUQLXd5sWVDZ+ismOMP1
WFvvkJUMj9gAVi5RXpEHvKZlMU3J6OaHqhvNl6WAf8hG0z2UxLUtwbRF0cWqGdADzOQBtrPbxban
/kE6BBXtHCeyz6ZGSF8PILOzSvEgpzuwsCrsZ6s9WLF+Z40jMUKM0cwbofUjIrsmfu5Kc7mdekgX
r3TIP0S6ZpcKoEyG8oB8uTh7RRddM3+p7m19sC65Zbyms0Vqaa3n4eqM675q4+hxHe1252g2ZhXo
ZoDXBhC5LHuIxla/HbVehhGRHqfYqQ95Zrq7kkSoIBn1Oow22mjWInV0zLzI5vgv86/ePH9CIKnt
awsjKR8lu3jgQx77PcqGU7+JEkGkZ+7Au+cwx6Gf4bF9X/NpC5jxXiEIRizitk5IRs+7rQTxwZhB
2ydoUX0b9f5x7hM7iMeYJcMo0nMxJdo7S8r41BRJ+2AD615WCuyzdJXMTEvWXSeWKcAPLLkxp5bP
DR/bGbwXxKNZE+jNKqHQ060oDxqHvYAr7OVhnQfgoji16vjgWOUai2c3KpZ03xNAx3zSFpvljGE2
J3HiPszOUhDpuWqeOz4aBi3bo80Q27Y4J/NEvAiLzwIr+SwlH1aX94ObRMnrYm20hCP2wOYejohA
vMJJydBCb3fjEaL16pHhoRNDJTpCNBgudjtLgA+8w2e0yk5zzbDaL+ot491k5J1Vh64G8XqccF6d
H4c8He0GlATd3E1u6lP2nmjBbqtCFJEVNVti90aA86C3hVNvLDzZCDOJ35cijXFTTwRxILlWl3w8
2QhxfK+bgJmAdVfjWfSAccjk0nV3bWkOeXwk3NB6P9bVPHySuSdy5z33yBsnomiH+pwOlQmaUkX5
QOlHbmyOgqkm5tenkhqipyofnTXQW9NwEPGDtvLFQprz35P6/3VSC1a8v2pdL3WFNcyPh/S3n/l+
4MV2Ge8ASXPIWfzdwMthlYyWxaT71Fkzf3dI/0LmYqEE52uI+yes95tq5p9MvEyKhB/GRKy5nTcP
MhO1m6vO/B/a1marcyOK1uRWNg3T8OINrp8VZ0+lmq9Hia0DcXp5nDC/oUe4xG9kPyYCn/s33F+S
3dkErp60oIRbi76hxsfo09YZ3q6sUhW8q+QFdYuC8TVVmgS6HP1zht7Z40lECgfrISHXsHxTNZAa
VD8TEyAh3ltvms6LmXbzpWt4yGMdvLAHNQoislYnvzTCswIxRlCAq3aNxUQDrq3EGSKrNiKU1u7D
pAQchpEUJ2taUI+sSuRBwMpIErey7vDciCIY83s7CSwlG8E7ZyYwc5RHDfu+01SXjM66tFrup1Y7
wE+CmyFHmZUuJdGIcg3KmMBB5tRb9rrY7MlNpWwBEb1OPJGSBb6JTgjk9QId81gX2dJz3qvZl1Bj
MAOzpx7oPMpZgvGX5y7r2yjuUPzZZ8JB+7u+AdW8moW0P3FH1qv826gNofV2Gr6N4GQXL/kOGxZW
8zxSm0PnNkmxMxZjvtSZVaRWgUvGisFmtXc2+F0B5pmw1TtiGUo27RL0eTON8mojRQlRRsDwULAi
npN8zJIJjWm3wLcK+m1vuipISmb9Q5ob4qn8xNhfyiakSbDeo0EUD33PPqxoPbYXXiWb7KuXif4r
ViOGKv0qnMnEI2JnsXeGVNa93yhYEjRecZMleUzotPOz8wZXyi6PsFApiAZPLa8yyazI74Wou52u
cE0CouZbVUkjAE8zBCdLXoerAj41EmbOLDrrHQHN235LiS/L6+RWpM3yMKA1Z6/EopZdU5dUCN6H
+Oy6g7RYsHO3A4PIxKNe6RNpEpjNnHAw6vab4lhroyk+GUTLm6QLKuy1UwTs8AbDsvbvTByrPXHu
zWH2WdYX56xkU3+0qvEDMO40BFtt2XfKVBSKktMNPzxLv4oVp1sqYndS7K7kcpdC8bxiE8t9pTjf
5A35tRT9W76BwLmh51eGiFtweqOfQhex7wlizb5hHZMhYoEJuHYUaFxFm87uRl/DHAqZ15jtXQUn
j0V84yQ9cX6j5VzrUvaY5wE4Jwp1RoU9HRqFP+cKhB6FbJ6zfrtBSmnfq0/2bSR6PQT0IhyxFRc4
udVP0gZJi0nalcoSRWduNvrXGrvY21rB2nGTsg5tLZwVpxyUm7OfOYUTH7Jsyg9RCggaoT79bMz4
SDaQUo+xBSfhmK5x7ebyZYMhrxRMLrXIuc4VZN6krUbOWj+/2m1N6ZkRbHe9pKbxnmgtTATGdatj
vMZ18wF2aCQGrje/atJNsJPgbuxzxb+zxP1E/+IFXYrdVKiNKyVxzjLusTHxFwgMOdWfLHeNn+yM
wtKv887+fVCQfoUait/RaKeCvVtgMkTx23EqTrPu1OecgRjpCFm2i6Zs2ZtKDLDYOGjOTTW5iGiX
bD/YMWQJ+tn0SnjJ+DQonQEyr/ypX1oUPln9QMj8taekCbYSKWhS6RVcJV1wOy1lxGcV7mfyG5M7
r3DT4xTV1WeZ6h7pm0oR0ZSIynZrzeJ9RTEROdnDUHbwFghsKSRX+1FoNQoLocQWnpJdzOgvIC5F
uC52zK5XSTQyJdaoR938QIYnplpKyrHMwsrCRXfs9yDhQCZKAlK/iUFkN7/mCVZdtpnVF3aQpBtM
KEm0BUnJZJjDV8ZxGkx5S6B0kfTspg3znVFhz7EpecqkhCqrkqwIJV4xlIwFY0z9UQpIgaBvu7zd
13UfQ6OgiXGxwAotMk4eMpYPQ7AqFU2SjRr560P8FT2XfqxwPHlvYnSk0Rd23o6ZVREkA/Q0hhTo
dCql2HFRbkHno+Ix2o2mytbMvRUrA4bWa8h7s5NzTV79HWzmFA6tjjB5VdIhMi6HR4xL2yxgiJSE
kOMFak6hEgOX1vGxaTBOOD2sY2AZ7ReaXip5mmAfh7D6gnt0FmgmKqdN6Z0KeFF0GN6lnTA59uWb
QAqrivyS6EinhBJRFUpOxfCnuUglsdJnAc+iOYn3YHnLcJzcYTnVS5Rafh1ZKpMz1W+7qclfS69u
X2Ol7arGInppkEdcjYyU/ESpwYgkXZkJ1dlhVVqxaGX8q0OpJCEDSSQJy0C/d2IgRVBtLMdnCxvV
FTcNeGEttRFrKOVaqyf6XdvL2NyheavP1ZvSrVSiNwaaZR6kHU04Q3CT+zjM76yFja2tdHPrm4Qu
U2o6oXR1Br8fFxElu4uHZA4cJcdbN7s/6tbGQe9WOsH3fdyne0dJ+mTaNE+RnLrY1+yO9XEcualF
5utyPSp9YP8mFfxvcfz/KY5NG6/jXxXHL186uvLhh23wt5/5c4IlfrMk616HSJRvc6r/K46l+RvC
cKkzhfi2nPmuOFbrYEzvXByUqFffNsX/2ungGokri4VPl6BNlP9kgqVK3+/mVxgrM0RDEMsGlTwO
ovd+LI1pJ8ctrV376Lr9wBMvQVcRo0v47p7cfft935sxsdH6/ioE6QkU8KQjYGpP4p2u/vt3e6No
nFrDrOPoOGYY0zJk8Xi4L1H9oWLKc1c60jwVG8VzWG9D820Ci0vX3xtBqb/XXy5OB+DqHrdNcrN/
vDhJKcVi5vCMseXV7EK6fg6nRXBdW88fMiZkH2MUAZ7fV6kZoqdNvyzYlXLid44ZFvj+oezN0sMw
ESRmthpeQqrK6kmS1gIIagxq1q7Z9XG8XcZeRg+4Gs3hr2/g374J2iePeT6dAoLzH9+E3lmNWQ6b
d2y3xdiRhbXtSw0pXSrn9bmlgQ8ikUtzp5WIkZQL0vvZG11ESvHK60u95c6pjOWu7l3X1yd8lDwv
2faTmxcnsspylBizeCrTcdijzhgQCtPWfNsN/9s/xE9c+NuHACc/5RruYu/1s6Fjb5njuMrZwx67
mcOOyZu/TN16kKzgfn23FGLw3Yf625VwcLRZfro2c+Mfb5Y9cSQ1gitNkKTMHuDoB8dtz91gtve6
DcT46+v99CV6ux6kO/NBPuJ/dXQ1RF9VpYbkmplQd88TBd+SMfb+gwX039w/8qLIccTE3jXIIPzx
XXkdjwvUe/jwGHPKejX72hDHfsx79+nXb8f4m6+rbbAXknzxzL8+FDJqAQ+FmXs0sE44bbJnheLx
mVkR94Yoi7DpIXWpR/875A/rZLvXOO7moZWJ6CEZq+2qtO32vlsdplbOhKKlEWx6/UmYBJUWTXQG
YlsPKZ/N5ymWpDiam45GMc7mjXI65iLwsgZTQCPFBsbpX2dnS4+/fpPmm0fsD58S9gMESjLMxdYV
W42fltmREaFX3LqFtAWTgXpMZSTjqD9p1F17bCINavL661J0WmjnBavLVWbHolTknWiGfd508H55
isiI8RWmKxWTYPQxN7a3Wh8kSRpU6w7zxdl4FB65Pn43FyLonAheUM+9PcnayN7RIaHPqYywitP1
QHaeYCn1gccZGq/BtiFTDPs4EV1wxemSHMsmMnZm7KRHjRhtFOJpuUsMbAp6s3afusjOTpmWlWEl
WhajjHA/JVABQcn0/ISN7XTbFAKR/LRJ65pJanGYIuXkORkWLAqBw87o1EWAFgvfs67OX4ZedY6s
16ty1W5tr1k/r9gvAOAlww6O3DzYkZX1UKWJEWx5w2hWbta9DVX51Ix9+Qo/nn9tsDwDRdQJ/g5U
M0pzUOsmGq9keSfdKg9laXRH2/OKU7ZiDIUtgHOLWskNBzetKCDLdL4dWev/DvNmf9TbfqctHquT
KP+i5Zp70VhJkk+cslyV3Rm3OF61I9odyPppmbTqpo6aCKExA0g/7ih/CZ0CCMrQ70YMOwqSTSC2
2LzUgDqiNN/bCbsOa0n0U5yX5bUVNeuzVuQDgqlS325w/kcnvqrlos75EmTlbB6M2nNP42aZH7vI
wUSP+1SdBn1kuSN78ym39lXS8ImYkGGNrWl+rNuu3ueJoYVms0BK1UbVPVdg90FNh8efBuOHfsEU
b17HfZKY90ZUjjuebdNpKOrVX7UFjWCXGJ8xLynDzhHNPanLlzRi0qPNUx5OcTGGWN8p//9hDDpd
PzcG9h56bFk+7oHxY5XFF5R5H5Jl1Y/JMOgPkdhW5izOK4zsR4O9ezh3PaV75ngvA26de7PrxLVc
xvlc2bnn19O2BKWOZHBU4v5hIupeelrCI2qcA1FWWWBl9XKlubF3yPulYhTuRu+1Jll5MUvE+D7H
MC43Cbjv9BZMmMMIA5BtgH6OXQejrDlNkV06xqHre+3K3mqy4cGegm6x14/Z3Ov3IyE6rLlXBoCY
FmQNVks6fyFmPHAbq7BOCVuPozBTnWkfXxcHtRu+Xl5rwIfvjBmeJJEJ4POQkCOpZ9WnbrLidwjc
xs+O7Nd35tTNZ2wxplOOExbT/8a67nStObRDHgV2pE+nEdcJVHQ5KkNMz2MTTFr24lSlntzoaFqy
MEs9LuFyt+XZmphTEY6WnHQsy3YIoq0gW0ck1eaYHgTBCdfpwuAIvzJGfzX/mFUjzHLqLGj6G7Y0
Tj2uB80hUKztiXmIsmn9Og3dXN/oa1yEBE5MChzT0RMaOaMrXITTmJNDbDiuGvrY7PRpNna84+4s
HbCSmQyKkOXZCjSi96+bN1u3JAbrN2uqt2OYRwOuczr+rLg4gEF7ha68kbPuUyKXeO/UqXxJGOVf
V7YUT5pOfVHUTXKb5zPVyUTJR/OJGiwGfwhZl+BuN7JXxV/PyR8Qd7fvsszMw5ww8DDVqAs1u1kP
WPSZJ5Zd+Z4A+fGlHvri1KZ2/3lDoAkebfHs6XiTbUP55RR1dN48zCYwnW9uzGSLzrLvOLmwBxAB
Sqg8zGqVod5NvHMUOrdKiBLao2nsWgJZdzjKx7ebbKIeSfvGzxhe0b/GjqPAY5NXko+efpgmAuQi
zVF6AqiPWCF1eOB4iX0reDAEW9Wnh2YwtqOeEcvqyTE6U6vYWFg4HnqlojtPDp9XYSbrV2rg6SWd
Op7rtdGeM0Z9BS2zZRyEXraHqNLsq4HlzcPKBZJQg0f2t0i2vOw1sT/MgMaxHznJ8KBLDD0jlscP
nW60YUdc8DuSMmCgAeMlMuJDnxmb8p3RzSt70Q/wN0AmbCYJD2mtfaPm22XOlgUnpgRLgyjZ1dX4
JCLNYGBCMoCdz/aOuctdF1Ueqv8kng5dM63Jgdsv80+d5bbJddeX7cSnmfnvsFQjJErZ6SiG0VXg
olCyeLKWtUeo5BpWcrPMxlJup7fj/b/48n8AEWH2PAqZfw8i3nyZ/+f4sWx60Kwv37etf/zkn22r
/puDmwA9GxAzlegfFKI0frMpmNAiY0r9kzTQ/g20lv6EtQ3yT4CM/4MuLAOKg7IVFAP4Agf9f2Rb
9pdqW0p+EaNK6jckyj+3Qpbm4GHryu2Yq4UGJn4c7E788t1N+ZuO9S/FtroIQfD0x7zPv8S8DPWk
NZ6H+fuYG62/yH4LEznJoCFtePfrS7Fs+7Fb4VJkykDsW3j/A47/WNfXJcOzLKY0XiZ8WNIC0wOy
cdlgq4FlgTfLkah47bBsbIzZ/Nb/4fJ/uZ14C9MoAZgLwR8NRPSH3twoNpbtjtEes2p+Mkr56qZ9
+Ot3+Jd+TF3CZjvosQd0v0E037X/1FvrqEeiPdpiflps84XtAWF3xP+xB2q//PpiZIj+fENdYRk8
1yxYegbauloHfnc5M24tZ2FmfbRmsz1TvwmEnZ5WnnM7KmECrGcrwoqVTqMddIa3SDPQUXr0HmXe
lV2IIyQDSSMWno9nc34aZxwDgqmevDZYigK1O7gduhyjFY2aEnt+l3kGcFpp/m5kaFWmfvhaWS7d
TzfoxsuKr0ugrR46tBwh103SjsyRKXjCEe+NF4Dx7poFwQxDZ8iOKSQZaE+Ojet6usoaurUz76O4
tm/tocofsCXCZsFC8TPGQ3wzTgxU4hLjkdodSfnR7XbPTGc75W58GTNtIm+p/GrJ4qFOrU8sxu45
S7BAtVy0kvryIUZdwyUyMBGb31ma2RZCtrQH+Pk06Cpopj6bv7AtaU+YwN02dHVslNhOWQbF6FzP
zs3CfCXwNCc6G7H5IjURnTMqAZgmFPnpNH1hrus9LRyK4Sqw+Nu8Nn4akAEFkDFYp0xxKJkO+csc
TaS2F9Eu05fkwhYNT4DI1yN3na/smDqBGkXDwzPGYcQ7DW42Lvu0lt5TKydsvQCjAsNN5XWjZ5l+
VTWCBVy1dJ3zbOFP8JrkE+bKteD3uMtiPJFvyaavS3FQNulS064bSv6qdnIVlW13qXEi2xkVpUeJ
Uoy9XZvdtXW9BiguxW7CxWwPka+/APC4IbzqEmCMZ4zvR8olXCH0VVxrJJE/pQkLgCqtBad0aYVJ
S1qCP6fCQ6TEiRhFSXffbAyrEcpdR95qvifEeHjCPZAsRtjai1hM51gioUcahIqKRmg54Ab+HsNc
nCRAOWIgKXM5Wn3q3etOjJ2G2XSXLdbqO0rR0OjH9RLjmNsGXlPoe6iz9j2YcxyjOaBkEIudHjrP
Gq/SSClxt8S5S2W/jyIT64VokMLH5uJDNubJiR97JUPvbJVRS5s+3zdrTnglp7k2oZC2MFa/Gnqm
0mlCJT+N8XyvRbM4GKr0FnpTHDFmxwKq6SnM32p0Pbbr2/Ktch9jpg7Kv0y/N6N2/dirIh8b2+p6
ijOE2aoF+F/2zmw5biPduq9yXgAOAInx8i/UXMUii4NI6gZBihLmMTElnv5fUMvdsuK0fXzvCF84
HKLMKgCJb9h7bXDKuNdyjegpCDvZNgsbd9187xtQPdND+JomAmyF4TZcWoxpaTa8rCPyamlAojAc
TxPrKtzgtCfO0qiA+A159gttZVqQky1A2UGxtDaCSd5xNmPjjKrGo8SmBQJ6lgZFRu/uuPGbCMWz
vzRM0dI6kU2p781BfHa5rpqXRw/oqSwEcHzTIpmPnQUOfFjasdnSunW4tGiNZwDUm9MbTTY10cRh
vi6b+YPOR3roX1B6e3DbD6GGoM3Q9Cv4nm23NIWpBjur8utxN2cLZTx0mqcWCVzB8TTCIFuay96s
xJtcGs5qaT3lBMItEo+2XftBaWRteSjdQd71Wi3eOLe9Q7I0sroR58G0NLdx3NNF2UwOLuH37lcs
jXCFkffMgTQfDNjWK7bir+3SOGNRWCycYQUVkbZa6vGZJcwuXhruYmDRjOCoCNHuGeVFFt4hH8yn
rIih94VGGURei3zeY3OFUgCiHG19RH8fLo3+TMfv9qb11utW/Y6CjkGGJQt/ZS9DAo4E5zZZBgc+
tMKDswwTBPCgNVF340s1jYKlbcv/GZs0E4jc4QFaaeW0bO21/JmBiM5ChbGFmFNnLXI0IgaDHgZc
di7wyTDqcBacpQE366NYBiHZMhJB6IdT2k0XTmG5Vz5U9KBpcypqa6KZIwQZazojln4ZtuQCXf4K
iPFwWwBw2RNX7ARN435xDRHRT/pc92YZ33ip5y7GbWNXLsOd1rRU4A4q2dMlMxNbhkAo/qpTNfX2
3l5GRE5CTm+sRdFnb1FTM0bKweOv5TJaYgpa4FT2vS1fUv4ovAhHvW7UOfiUzHywmFA5y6iqU5n1
ecJQfGHqPT9LJlrIEpltpcuYq/8+8FpGX90yBLOWcVjucJPx8vxWLqOycBmaOcv4jPfjeBiWkZrf
TKTrnjqDXCK0kLns/1VX/FPk/0WRj5ZpKdP+e5G/fxvfkuTn6v7Hj/yu2LKt3zyKTUHQryAy0aHm
/N1n5Oi/mVROiy9pSV5ayvgfHkUTWbXAzujD/bAsArGoZH8spQzvN1/3ie6gi3DBx/p/C/5h/3EA
vayJqN6QOi9HjocjaqnOf6rgdMfPZzIozAcpF3JTPRdSMT7m9wxmrBPn2oraa5zk7ZfazczHOM60
eyS+aldamqqDPAFnxSO0xDqQ4wmH0wg6X4OQOw31q9R1/h5Hi1AmaUOV3KUtMTdkN9jiUKEN2fbI
2Da1kfpnWAEQwv2SgUSaqV1lKjgDKaW6H8EHj4Hyfy1njcIxtpiVaBPzBIwMmDnIPRzf/KhWby4t
frKOYr62gG55qQmzdt66ud4cUXTV78iV07eOigaCqjLWppeqV4Whl1d1lLmBIGPoK7teY4Uoxzrg
JzKuUexcjU4jBxSuhvnUi2nO/qJk/951/Gc6/v0SOIvofgFRE5jr/VJEFxD0AR5L52FuhX+wBdpX
hnXQoPwKMgSVatOB6DML/65ya/NcjiYfrXa8CpBYpg+7OU7VBoR/dfDnfriZGUlezN6qPqBkas9l
Y8v7mPnlxk7S9Ka3OyNeeeiBP+V56O2imLCvnpH2ree1T10uOOlqgLfRCF41Nndu7H+kjdO8//SQ
/C9N39Ip/9SK8aHpwJYbmLaS2Fm6oj/edzUklijU6/IBSGH4ytt2uiOO2XjBS8s4yiV2qE9FeyjS
sQN3URYmOvxu3kqK5pupn/T3OjP4Gnx7nG6j0sqO5KIAKVD8G+JV8ysZj8Yp0szxNgYuf6ZTIfrV
Cz9F1mTu/CTJP2UlwzIny/V9Uo68OjU6vwwI8ppsi24z60y2sYXpw0mfxUfp9OexNY09iFN7T+wJ
K1wLMgVlSLaZbIZ7qPXjrZ285rWfHi2rGr8kcSVWeSfGLzWq4YOr8nbfdqDmwxj+KQK5bQfH4Z6H
Mru4NME8RxlLJvGho/EiTjREfb/O0tk+eSAfgyT0pn6dJLJZ2Bn+jqQPE/4Oq0e3LKf7qeQqsR9J
0psiFs1ZISBirlzWX728QdxWMloGmELSwn5i2saAnLbNn+rklFNP3YQgRe5wtg03doZBgsCFPi82
TTyne9XGqR/MVmTea0k33crO4As1k2ibzLTto708m1jArgXOgmcL79q7H2XR2bJwrOkkCv9FTOAv
ZxbeY1hvDvwjga+Ea+kjgv35zMLOG1Knudp93OnztfP7EveFzD+picy61mULgBube6et5i+j6c0w
WGWtAgu33QdgzulSgwQ40pE2zxiU6nWOL2SHXwlBt0WViH7+qaBxDOhhbAxtgyh3Odf+XNE/rPQu
gh1Gas9GFZV5j7Qus9DU8FFVD+/TisMk4LhS28GyzeVAreA52nVnbOxOIxFF79lPpdMwXVpsi9fv
t20NzgjOm6Nu2sY2zkZdhd+q3NNfPK2Qz4ve8bnU5uaSyKRNyXCIoUqAAU/eS52Uk6rViqDHsggy
te+dnaXmzN1kXgwpUG8q9RdTjO/b4/+cV8vXv2DLCf4lHR5hhPvLNm9sDIl7qw3vTWS02rozaFpU
22gPKWE3N62RmnrgNFKDbJuAcbVJ/6xv4PHF084jWUetBM8gAPe8CY9eNtRvSOMAiPvNWEdBDe/9
tbUUH0Y3c4MBNDG6f372/G8fAPkXvxabcYB1i4j65/unnDMJhjly73OHbL8pNaYLtTrIWhaGLdoE
zhls+5wX5rJWLWPyRByvrN/0ULdPxuiE33j2COYzVfUmyOM9O+OUHWOz7sMtMP3wMXcbSuC4jHJv
9ee/+/f38S9fPtgCJkgmMx6T2d8ff/eRsB8ggaN9X8EYKVejlOE37uaQXbVs80/GnMw3aIKn29wd
yl1XLKMRsyzJ/amT4VgVHgAc32zJsR7bQ+U2GtOBwt+xgOiYQTR9eUvSeXJ2TT7/iP/FXIHOkd8G
XhNcosR6l+HYHwBgeSCcUUjc9RClSkbeLtTo1J5Xkwk8sev78JlmLt1rnuYdJezFTYhiYZtLEW1x
iEyvrVPOu3YcwkOicFTMpVtCXDXN6asRSc4rs7A0YEa1aWwIJPG3osrejaLdy5hYJUChdX3ILdK+
S5dHnZpguvv+6GF5iT5a0OcgLTP+Y19m7Cmm1rzPTan6dZGKIfDNJv7QazlvUz0OX7nzhq9WThi4
4rc/5KkbHvsEg5ClY7VCcM7JR/w0gkezyB71eglkp5xPXtwi/ULfXh2aKJ4OGbrZoG3NAbJsbp7j
aZRr282nS2rMvEv+/EagSORK/+FOIIqemgGDDvkUlIO/lA2c1UUvs6G5j3OjcwlQ4gFbfT+bCSlq
dgqEd+CSjQPqf46jLaVY/eagV7zOIEOzTVTIQ6zR0AMvyo9NQpb9ShV6kgWDliYL+7Tcdk22PK6G
q78T+Jw/cfx37+ZoDV/7xLW0te/YhbsGKLlIVynHboayoy9ydcV9YJUiX+UiD/NtboQYaPwZAJkX
adNazbWL27l4gpWEmcwFvQrJ3EQq0zjaFTq6Gtey1/sP+NAckVkZr1vwEfvJmOXO4qlFfp4sJedy
XSG4dM9yyva2lg1qPZnJvPGFejZqgn9Y1UNn1VVMq57yQBA3ys2ampIlPGSXLyi12OYOQ3bEFa/v
Zz+HbuQIhnJzY8ZITacQHW/NOOYT74Hkk9TSPF+h9YSuVCVF+iwZi84QlRonojF0dcYZaHyJM45B
4WqMgu+1YVwKnHaqjro38aqShbNuMf8wqIh7skWnuND5uMiHcRFJvig5tvx72PU8BrSXmOM8R1rW
Op+N8jGKOgnl2+KtMxupeI9FCIEtMpw6OxETtpQ/vrpGBD5rG2zI+js5apyrXcNSEhu+oQdaORvw
v8fsiJg588heoMfVLBVXgW0I8WJUc0IuNs7qK5TnsGeokk6Ysvth3yGFwEIm5/mb6WTewetnDRZ1
kSF6dUJ2dHo7jxtrGHxCL5yEaUuLwJxJIndh0lBlrqaoXXe+jUPOxlG4TsScfwPvdt9VTZ4ENmUr
ioXMRVQwYpN23SK+Y1I+wvvOfb4ZX83X7w/SP53tX3S2vACXTuS/d7bL+urm65R8+UPozo8f+727
1QUJOpZjU4jpuIcWfuXv3a2O68jGjGSxkSCodmmjf3S3wuWHWFCBhkEl6KJ7+nd3K4zfBNI7hxuR
5GMTRebfkVza/EV/OCOXyHX2PQBrbMY1bH3++LZsMKvMY1Sm59bsE/VmYZZgz2/Bptjosc/NvBIj
I1qFUK6ShXZYrHw2/SAW4301JjriBak+WhHB2df02g6mVA3zaSod9yvzJxeNgAvgrtmXDEzxb0At
H5X1oBEW6PURM1nTxH+QuyU6LqQCLKY2GQzh2L/VE61zr0PVI9XaANfl9fogyjbsAge6Mdk5YswT
tQwvTcQkcaVDeE48bQwmD3ibOWBHmNEjz8SWxWdnICPGe4ghFVfYnBe6EfOrwurol9OyLuSj9IQD
+jYl1VV/Thq3m/tdWQ8efBCpF6V+SmgWe7qeBtilbLduUyvqn7wE7KHGlB91lDZ/Jg/WTf7BX/0r
1eovHkDBXOdPR0tP3Vv882Dpxw/8+9Fbni+GNkwv0S9/f4h+f/SMBWCjMz2CL+vDBqZC//HosR9e
OFmkwjLo+d2ovzyOPJCLL47VMY/r33nmvlv8fq5LeOEJVA2cBQIVLU71Pz5zvKdpfJWnbvxlYJMB
9q6VIk5g9D8VhSUO2TRlczBEUX2StiU/DKWS3YTY5k41JR1yMyLAo0vDK04SQpEYE+MLZd+hM5WL
kg33b+gxFgH0Mcx7BGisGIGUKBrgoPcHz7eeYibZRb2HYkhoTTQOMGpAimu3PmDq4ghNpJVAQTB+
ed9EjR+i34+Y+KbhgAfBIO4tdCctPfqu1wwP9cCX/KCVFeTr2kIAuEE8CYaR7xL2k0dOZ4DujD4n
qoFD4V6MGsIXlwiutrDoy3iML2FRxLvGNWcRjHhuHxlnxI9zRwwkH6rivd5r72NcJACvrLYJajDt
16myL93UNofZptMGrNW/+YbOTEsWGP2TjOA50vcE+TYQq6Be0tSb5TGNIPKBCJmzEfHyOOpDc+JU
KEro4aU3XeIoG7QDZdeIewuuiXrQlAFufq1HWRptQ6u2TXdnYuPrEcXpVdewSYpCg0FbQa2ZTfdO
riftTQ1ct+QqFCjri+EfRcn/7USgH2UO9t9fyc9fZfc/n5I2Sn5BeQCqXn7yd0WJ+5trOo4DJPr7
ybAQ7n4cDR76EJvlkAVWyvghOPn9aECHgnMCcbXLU+s5LtXBf04IXBDOIlPmhcpD7f+dE8L5tYkF
rbVQQZh508dyWhi/HBGRssYcNWR8kIXbnyqvtPE58qY8CcXWNrc61HhZL/B+GhpNScTLk4xeDGjG
uM/iVsMAF/butu389oGJqoaSL/c/JV6X73irLwvA3l/WNizoGeZ05GxmsX2Q4ey22z4lpCiwNZyt
aDzs3F5Zme2sBx9Fnl0X074JrSO3No75VkWEHhRe9ITND5ryYEOr9Z30BbjCJwZOIQjmUKqnGQwO
06VcbZNB09edlfZXimrj2FUloWts4xcAs5YjEtRC2AiqSc78iFEjzXdxRVbaNQnrVK7jKR33rWiq
m3kkWWiSQn+e23Y4pUJXj+wDxRZ+JRWxL5n1+fPyycHXyo1ZOAmEojTfOq49YOYfVfEQxTbAZEEm
XkotjrWyMU44LZ+qrLIXutVw41kKO0LeBRpmrHWE7oLiPrG6h6xO3buQ3uwaWkIn/tlpLWNbKdKv
cAdq89rvQ5+wpcHamByQS0xLvuZ3ztZCdrheK5b4Jj7eVTiJ5z7L6r2RxGfXgvVg9PEtONqhW5tK
t/K1y/IzsOzRWpV5NFuoTdshZAjjAJtiPLMKi27vjwsWVKKAXGH5NDbaAHzPSpUoOA5Lm+th9+fZ
M/ddqr8mqWmvez7LBhnlp5BkuKM/tk8KHnfg0yV/Xgq+owEqGLo5uDQCGjaR0dlgFKLoXtK2khro
wpT1yFG45CWEVr7lInaxPlYOKnHp3GWCvamGTOk1bEPzCvE83djREvUz1187U0RAedVMymiTRHfz
mMrj5KNKTx1yiz1jOqPhZzlrOKBdSi28GqJ7iThQAxvI0iGmaYpOY6fnw3Xyo6p5g0UuP+tj039L
0sG4OqS4nhbv0EOGw3vNfr4/25JYr6AbCr6ysS7am97UP4+T1V+0mvg0c9S/WmWBWH4kD62APcbi
0OpXOdjiW94fhlwXrfJesS72j7PWV0E6hDlOXJT7AX17X2CR6+10GzowqYK8HMfPcYTyd22oPsGS
ozUYBrPFMz5zlUkx7MhkBketU+POILDx8J3rBkFbMJFmdB1q8260jVcSK1/1loxoXZAn5Oq8tX0n
YWVuIRFudwNMr52OVOEZNfRjFNZfdbMndSl183qDAlLf2/kweLdxDve99BlupbFj7iPOnHv+BlJr
hYwvEv4uwrPxMBkl2V1kI8VT0EdyNG+kL+do5xFMEwV9W78WiVaj6WT3yq8ktyz+w7sBktqqbTKA
JoMYWPY607bX/Z2yRHzIsA03V3M2QaL0oQFsDE5XegL0kWabhGAWrDcANm4kjOGNK6r4EONV3zQ1
hm7H1bS1wSbnGY2RIkJoPlFfk1zUyXiXoWlAxWJqWztUeOZ1NW7Lxc8fgbZ5QdoF4iBtxhMinK0F
fm5Vh7zJVx5wvlXWpvYVzFBGZ5ENcMmxJ3sD0u8UZc0xzQRwsr6vdwMylmAwiuhmHOyRbyBdyMZo
cQ5257U3k95pn8ZoHffklaGdXhe5ZJ2dRJW3mTRRbNP65KjpBf6Ss65aaR6mmQA4mz91ym29ujFy
QdKkbWnk/jTg0HTkv4gAD5kzeJxUbXMVhK09Yi1iUgCSex3bBrZMVc+K1JCwoqzJs+x1TsHx4epE
mWQZGKba4TNahHQVDz0jLyCw7RZIlkHO4nDJ50h9w2wCQnlwXUIIIwhH+Dj73RTKLxbKjUVMAjkt
dhBcEXFAZFrB9KkC8H5O8v4zLxZnCx562JdzQyRwHlbavOrqccTbUSTdF7PkbbNhRivPKHP87RAZ
DxFUrb3QCvoolMFoubx0h+22YPTGxLImdwW6lgclCUmTQd7m3mxL/aArNpWhj9THYX65Qaasn5wO
4TZvbA9zqW6ee9fwaTfdZDOZ+X3ozCgUZOTuxtpHsxK2yTf62r5aKeR5LAY4e0djyNesTZpD4xtE
a6dR1qz1Sdy1CAG1ajJVYPOI3sR1lFxI8vSCLK+1gG7SX9vw7kh6b8Lt2DenqSga0O2T/LCrdgqi
oh43TL/qcydwIMxwXA/t7L+T2VAciJP7aHx0M302vlPm9xvdUAZRMbxujDY+sDCL9tTCglhK7zLg
XsLuIi6iIInA6wf7OlpJsW01eYlUek/QjHYd4/Ru4ns9hpNt8jTml8gt5u3kZD6vxoTETBxPJJuS
boRZO/Mj3OEDTPMWxfOTlcFFH3u+1/sGnI5zxJev+hsl9ajamLw5GTB/J+h0ulDgdKxxYes4pTfr
mzj06/mhSHRfexnlQuRJXNeb10jhzUD/F7RnykhMJBaKVZja13byYLutk4L0mSllZJZblwE0P7cV
E7UVLL20WulGW3xVFQqwFaO15tasTC1e12k7P4u6n56LSp+OLnTbE7m1ctcobSQ2oCBfKDBUNhzR
5I0c/XnJdzDEHeIuHepnwYnpZZrzBookRU/Zp0c8n70g4Mkt7r25T46FXkjWRajJXX8kisuLPhqz
13Yszu07qbxmCwjSwGvSobQsSo7XrBF8QZnKJhJ4o+gTOM167abYI1qc9xQdhbD2yx5iWOuz3WMx
6g1iO5mbjguFQpzaui/iDYhceraVqXocCby59C00pjZceSr20kC6PaFRWR4flTTKaM3eYWCzECtQ
vKgMMIc1DoVfqJMoRLvp3xokUHRB1c1NssXpT0qeh5J0TaoDMC0mna9EAsTGGgZTevXitrlP/XSU
K99RSVDB0tlJgja3Lf30fjbiaVjRzgw6c5nWhZjQqu45hw69DpHMnovUK0gx4+K/zCIhRUHaO9HB
4iK9glDylVeidCLiMIQHJoY9+Rsk82kEp2zEpMFBVQ7WHyqgJidXzvQOANH0Z9aHaUCbCIMk6oWH
z0IBJeZ26XQ87F33wuE9b9BHkpPiG++EPgMsd22duErqrYYpMyJW4inJLxhJc1SrtrfNoIOuVi+0
meK2bKSH9yKL+01nxzeEadZk2BbdeSQ17uCQLqGCEkHIVeYtUcPSLvOdVTpkEnPRjl4vm2Gdl5b6
mEIPED419xNITfcUsoF3AqiX7lkCpnWIVjIi/6Zg/heYyn3pYPM9K+wQdNu2BcsSn4Y52fqhNRXy
CgkO9VXU1jAG0iMBJUEsw7vE9G9yRGJfTVSIzKcT443zNDkmI5lbJKM4L4zlpUL3VbiQ5JuEbAX2
vSYQShItVNmJexiAYmM7JClXys02RHSxyZrQyqI+GU6zSzIS5ofxXsIqZRA2TkFK/gS8jTp+U2z4
Gng5hE4bSdU5q9qo201jwlQpqilZibBrNhAQnK056O6Hiaf3XMsEFDTQ+Id6AegEnOfpN2gq8tEv
9fwlMvQ8wiqS+key5cJjgvTkqJOlunW5X09QsB10b90YjHpdHUyGbRtttjXm61a9URDvqP1ha9h2
iC3N7eKMo7kot6NT27s018rDpFOL134+PlYtsDJNbzdd3YD1i1pQJSlpj6nrmicOCSJXwbXytwyL
Oo2TTywDA/Y99YY8RCgTllEANh1Us6oKybPeWumpTqhR8kJvKKBAmMQZ6ZdsWuJxk7AUx/FUjR+A
TmOCbEisuxlY1ont2Fr/5E39z/+p/2ed67DF++/9/237NarKn2eCP37k95mg4fxmYbA1UI65gkSn
/zT+6GZIoRKMC5F7MRKkhf/3TNCB4bk09UzcFxXaYkL50fhbxgLEB9vHPIC1M7T8v9P4A4n7ZR7P
SMymAzXhNgAI0381pmeyZzDV+wjBMl8gKmEdxUPYRplz64e1ZV0tp2nlDjl4SWhN6HNqA3NPnCAL
AWmxpmeKTdADCCE2nQme2PvYy7V8era9QSNi3uGwWNVDmZH+uaTadXmjf5DDPBJ25wId8AIW/1Rj
JicHb/0KP6Q37CrfijZF3KSAm0vjm4hKcsV92Xjv2pLCNyFVOrqZxaNSRTPMEhT+AGrCHf3PvBaY
8zDeJRXJmMLp+1VjtkUGXLFuYSYKS3tyCQf0lpTAYvETQMd2wSQNySFZ0gSnJVfQHez+M2mvmOKQ
EREDWDrxffs9llAuCYW4DEJ/XZts/zei5hNTM82dt5FNXq99PY5PTZhtGf1xjkaj856wQniiT4nT
i21O2pokSveWBTb+A8VoL0GXu7AK3DhmzehDJVhJvUvUg2t3XbnmSqiXUAEi1jAMAO+ewuiBCDE6
frKFwDMqfv1D4oTxaR6n6cUiR9neOdaEg7cUw8ZnE1IGupHChHIxMtKFwSF4Vu3UBhFIGxkwOCiO
miz1Cq4KsB2SS2bEKtno9oSTWNwS6ZwwuyWeFDdQSm/bokN31Suv3gbBfMudFZjZUExYIwnhRFQj
NlJHMkeWe/zNXRI74yW7k2FGvx0jRF02QhJ4abF7bWZrwhAX08+YqquugNJhtlaExOABNK7akhpa
DoVzDC2XZXDbkipKuU1hwUNzcb8Hj8YkV8SsXxTTp21TavUZjlOqbvSyp/4/oh8evZo1UgkEYsMX
QYAJYe4gl60MwvNhLsFrU9QkiqI19ggeWhEqbZ1hsJKphXAE2RykJQgF1rog0kRce0lsMQvfwX0o
6hIkpIsru/6Ut4OLE6WCnKUI6A4pk2n7AuK5XLl2TGYKxyW5yj/jPYg/isZFspnmbuauck8V2nlg
tixR60/VRWpecmZ/H5+csBxxI8dOvcrkSKob6aLqMEVYIBf6admSSeUs+eNk/FR7Boa5seoMRdLy
iA+i2+u8sLd47JM71HGkXsXNsDBt27DgyUYFEqLNVkm3btPFFlCH9TCc5znpG1iTFn4CSJRiXQ8L
Vk4n0pcWZtk6Q9VAPBS0BP66N9NcjJdc2vquzdyeEDcmLtxxi2IkBWC0hqadXDSCgYYtWrEcEZKh
Oy01hze+mImsdp0/NTgrdHk/T106X/1e+6LNfskzBTFwCsi5U8zfK4FGpGtwdG+jXlUvgFQwGXio
kx5RwJhECoV1W+74j5R77BO7bs9JpBB7+xNveNvpGsJec9PZ5XpsQj1IEQKKqm6/wTB6snvHOwva
ivlhyEjI3Y9ASqtDG6pp7dWacRJSQu6Gvna1ypHnES1CCv0+4jSze72kQm/S3TwJ75hqHsM3b9Sm
6TwZbFAYfJR0+XWb7TwvlJvciEKyRLlW1TYCpwu43BJXDQA5tqU+zteOn5qnyiHWWXip5m800msx
SMWT8VjP8O10kZtcZ9Kn0/e2cdO3lOnAE4CKAZkvdJFNC2mWZ82ahrWWzmJTGI7WHRhdWUEu+lRu
YMNF7Yk/wNzJ0GoNt4Pp1ITwOt5cxEfSPwilDZRF3i+5Ywp1z5psN3Bp0sEqYjttxJR4IA8PbATp
WWFXjMj5K7voLcCadQ/opoT4YOAH/zSM87PFLYzLD2kI16bUzb3jje7VscFGR12o1p0ZY7TyS1ff
4IA3NxhdKETxMEz3JWEHl7wwGQIXrVsYN0SwM5TtSIPaeU0lXppuekHZOPirzmEiuWZrlHvBMOid
XPXA2fobgoaNy6wMeV+QfNAyYBin6AoCN2xJBrNyNat9IdzOtTHtUwEjSJScGhfUoMb2e5Hwj8Th
LzasVAd/Wk79vzZ7K+Wb/Lmg+tfP/KinPP834KggTamBFhH+T/IGH1w6kgIkkNyPC/oG6cGPRYog
75MfMV3kWexlfyZKCeQSeH0B5fiL/AFE6t+pp/Dz/rGegrDJPyxu2aPYiBx+BS4tmcZWjdb7YOce
qb62NlxaTO67OYynIwHq9n7WqhR4yTgqpjjSPdvUMaTlGMZ4X8HfW/Wy1t5yGpWbjMLxMhMt8eik
acJTCSN1HUnLvcT5IO9VOiSPhbTzHauR5FBEjvG5qkNvg1wuPWJF3XQK5S8o7HSPEaxF8JOOzP1k
X89f9Drj8AF+YcKvwwzTyiQ7+mVenkJXYNsRciWmrrypmEAx8wsLjhCOBGOQI1CHogCLqkGIMrXI
PSLNZQgJ1eCWqJB8V+eef6bLGygXnMm8TlrvX1yE8TcGMIUbJZQGD6cSzRYAWL4zKjN6MfzEh+Gd
3WEz6m9C03icdVWtmceTXd1YPgF3TS2+CaViUjWVE3jGUJq8e9ruzgdxsTIwAW6EZQNfbfOk39m5
Xn+MI/8TQSrHqknafFf2VfbUWCmbmim30h27pXTvy65bj9ZYrHVXYZUwzJ7UiSS87fp4vHZVMn/x
1aheFob5Nco8tRcqbS+OSKcrJo4EHZSZbHEv9Sd9QpVfiH5aD2XkbushH3auAbHU4GBiqVXm+wGv
AFMKq0eJJjBd2vB/4A6aJYSaEEdAj6cSVkwF5NwOiT+pl+Bk2JOZm62jpuIIHdpm1zSD/Q2UBGbc
FKwkbtJxR6cQHqgRijuDrHVzS3o0ClglQ22Ds6s/1ZZKP0Uq8V/dBhgHgNf6GNbOyDp9bB790EpI
pHD0G4AiDGLgPSTPYWcRC9jrOZYAq94VFirw1dhUzPin3E2R1ghxnRX6E14p81a5Lko8rfbc+zKp
UdWXJMStEykG5LhgE/yWe6WKOicM0tnKvxBwV19Cx8EVOfWCOWud74raSV57z01emjo2LmVU29fC
Ix5jQg1/0bVBnMzRrvZtX0W3OArlIy82P5gKyBiF1h/qMmRC7Je2dzGb2nwtUTbdNJGVHRIjr/dp
mlv4fDOZb+Hj2rd5PZ7MmE3XAI5mr+ndpo8jRCC9B/RQMVJkmRa6b40Yv9oNIdaRqnn/qMI+VCwl
t65HZaPc0vwkrOwLnA1kfVpkma9wfR4rcnI+4eFRuxnQ7LWKHfSRE/LPo63hDmRD6umXeDDw7Y6a
07zJsE3vXGbDOVRV4X9BUxHvyoEfirAFP3kJEPpBaJBxh6xg2cRFHIVIDk5PXKWHWPaBCqN7F54/
tFQFxiO7Tiwzo3OsxmZXlp4TzA5RMrjs0+zKopqeKcz3DkD3oxPO5cHKimotUVaueg7L167y6YPs
ItwSHUPWqeymVYhv8L6WuvV1nsgUFlkaB3OsMpxydvZCWzU9uWWtXWuTWQYX1AXAEpMv2tAk3iG4
3BKt2ZyadmDa6Ptbu0uLXShH/cbz/HzX5Fdqw+EFz2y1zhxhXFM9Entqb12iPtSHC8De9ovomLkR
M7oe9cndVcY4bYYcKNFmSdh86VxFsEsNYS1ZjS7EgHJWUE1kle0gBs1klCnbDdphclgMaWMFQVJt
4HZJwCKsYLw1UZdP0ayslOmejxWhjZYyWKK38OsWkm/dsHYqQzJpDe0lNTPSKqHfiQ3pLy7w/EaH
8sRsLteS58wb9UOuS31T6SmjLXDF77kTz6ewiv2rXXjOQUp7AvxPlX5NOg0YFEJLu6zlm5O60y7V
be9Ol2zMkaAI/TJ4eIK98P+zdx7LdStZun6VGz1HBbwZ9KC3pxUlGpkJgnLwCSAzYZ/+fknqdEtU
FVVnXoOqExQ3N4BEmmV+0yAfhx5auG+8NnlIODWuV+Se38vYLy6R9f2UrDo8cSKu6GGr8VplPnDg
cSovVYk6lEaO/5IYTd5o/NquSvqYD1Za1Neqarp9C5/54CQt9V+wd/tA9d77amoI1jRPKdO4PdAV
d7/B7h6upiDpHn2ETTlcUH/6kDd1ca9dOh4b9DrBiJdJBgc0r/bU36Yt7Pj8xqHzvJkS39gI9POt
PTD0QPrX3bJo+pazG1+AaMLnbcZj6Y0XlRMTzZkg2ftBz5vFX4iAErRcMeuzKlm7+3pIj4WDkUe1
pOsNlCF/Twpjoz1MebLcDpbAbyCbD2HfjtfOmLnnULqrT1OPNtDkwroeMRu6KljiFyp1uxNQibml
5i6Tj1VIo74Rk/0B+9P0xM6Un6Xa3S1uGNysaAx86VC5PO90bB0aiHEIUIv6jAZbegj9TL2tlym+
z+AFHxy7t2+pMuBINEZE/stihQcvj+S1XND2QnvxC8LgbP+D1CsmH7OPk7I3ObvVAzGNfd9FQMgM
j1jIgnx8aKcA0rZDfluwoxX2WzCGkrO/LLO7geSalB1iiykvJ/ptn/X1qc1Z0psZ2iDVECUp0kZp
3H9PaCGcjXXu0tGbrMvCbfZLLJqb0VRtdDB8DGQAvL5VgLbiYRo+VxoLgyKHfTF8x070Y9wSnzsr
gMx16rhe35xJEWEv0Rd3GJB0510eRXdjV7kPFfIBXxAMnd/LlD8cRWgx1YtFy+ocyh9lg/Oup+it
jzVaT2t4RaglsnCzuhWM4sJtwYkitpRfzm4Q7YZpHuKbXvdL+EFBAqHz5mEhNk68OAucdnewxhWx
otY+DgtRz7HJu/aq6Hqr/dixgRJ7JSNmL5Rq+mrJmvPYQodTTaW7I8irLpxsQRhbFtHHYAn6T3aU
ZuVNOuf1RURfVN7R1czTI/5v9Sq2s5pWUDIZnl5f43xW1n3Q0yjbIyScUg63igpWApWDnbDs5SiT
VhzGUL1HRXfayBnRKnvhTerMfz9DkjvRc4dCgHDZNZ+cD0kdEU7SmimkfzkktIw2tgVqpEI85cGK
RutELHIvVlTh6bdH55wg1m1uFdnlHKG8lwlnuR6xVr+WvM1zSt4bnRfTI1265VwmxnfHt4ajI2Zw
EoMJt7wVRlASePKiKM6q9FBF4bLD0USf4trzYZrExVGB0dvi+Py2WXO1QwAtO4OUhtx2mqbnsnGL
c21nl9DS6y3Ew+4yT0O9W7Ko/zR4SEPFKJgdi34sDqXGw8vK7HQvi7rdT6DegLgg8bDRKSbwAa/5
NEDz2OjabY4BLajv/pASRndVR08E2JDnfIURROMeux0RqS+DH/VVcJ/2+JTobQGUHSe0/yRx/44u
MIBzB/zqvy6KG5z6+Tepvi0/53E//uwvRJwHaRorqsRYSAXkXpS4fyDiogCdJaKfyP3f4vdfgDgH
bwwA6jH4dfcFTB0SNl9n2/wGhLkNgu1v2GYAff81jyNRDPAKjcEAIEMMHfwFTt3tJSIjQyBPCbRl
b4u1n94vWSurizwdgwtIhiBRs0Ch52kX+XA2FkK/zTtrbDADojsM7WisQRtUSbHFXtHbpANEQbeb
MyquBNtvk1HZx6jC2zxLEBVfZ2u6zion98DvpOnd7IKiQnjhsXbgkvBVdyM5xq02DEUlkzsYJCWg
HySZQM/UKLYBJSb1MWTcYfLhoSGl4LxTIYRX3Wn7Q4IMWriB9eG+EwKiiZJYHzyRz8KOP8TI0UL/
LZqvG4T3jKGc8y5dgSk1ykq+K1dCgulab8bBulnlGbkdTBh/rrpHb3Tg5k7Ad1dfUUw3A1WtBP4o
sH3m/Rdby1L89eSM8iyA/h0fATwnwJma4WytSn8beQN/qAI6+ztXdAsI4SZpkvdjufbZVhjWZYT8
71XYQWIJgAqcGnteT3pS2HdY8HVWJ54mHKGheKpCJ9upaL0Bg6WEej+lcCTyJwVvXZYxKkRul1kf
hwFqckz02WxCUI2XMlYo2wF/gnBWsdOiHTk4H+QTV6+abb4NuNn8Ju5q6/uaTyQcHlTJKp9hFMG1
v+7wMTw+3R/UPHnGzIY+CetSnrm15mUIgrItirNiOoCtEsdhQKkYb8MVBR8GWcWLJk4FPLOJdOEi
HOJQZtsMGvnAS7iEeX5Ka6daT6HS0gNCE1XF0VuN4EuZrtZGWFBaV789G6WPSqcun5jMmfuhs+CM
Hpxuie0jUwVFL90wF+KuOi8Ju3ZcneyeGLTYm6LKLZ4Q9YO0vPo27+RicjB1GRNAkGWBD8o9V4Y7
AEse4pdDdsHmmr8vlw5OdbIEF4iGFfCiSqhHlUY/aWx5SMjS1j5YXSXYthN/Q9vV4KwS2ruI4q8f
VzEtx9hXyZGirPd9Cj1CiFQ2TYtA4DrjneqWRXVIqG3m1xVnQ7AmQ92huBgiXLn1PVzfi80oIWDv
dVapd2kD5bVYp2oLP7HYrdomjw6bAsMxwrCjg63oQda591Cjv3Rs4tki0kNWv97NumjiI56R6lZj
aBboerhEJvs9KO2l3BpPTlq60KvWPd4WV02WrnqrnDA8FMYtDd/abgsmS5wjSe+7hMP4qq3GYU0Z
rzVlXNemZWluggIntiGD6eIYd7YG0e7TigYlIBh/Pc9Re8QP050Aphtvtxn19E0ALJKUB/b5ZjIu
cL7xgxOuKJhUxiWOAtO8N7GRQWfgIjdM+MlRL1FXg4fH3BwTywjjO4cXhbsfcXLlg5ExpsueTOpi
41dXJ6YhM8129GGEZHmVGme7RZYlnVRK4AuvfjX+d+LJCq98ssVbSmORZ/M3j+uTcZ6FnoQ4ZcZP
r3+y1ptGJyephqm3sSqx3nPk2/vV+PGNyDSdr/TdH6yQOMDtYR/tqQ21YFqAZFh78Jq0FgHD+ghz
CrX3BhE4LOVgchAZnezdaNwBp7Rr3+bzCiub5/coo6xzeQYw1PRb1kyeEycgCLuEw4p/LlpIAGoC
kjlUPcFR5lGLIb3o5FbWMADCKLPpJ9Y4dNAzLC9GjfTFdpQkLHbphmAQQsIRmYzzERiO2ALqfWwN
akAWi3vWosZ0DSTXuquqms0fdYsVtMcMJyASte62kPPljYxxv4kEml3txGbuhiO7kgqH9OPTztJX
Ov0OZKI6h3qodjS3IAg+raIOCc/bGVXqBzlBHQwtm211dFuYDtHCCSPpFRxxd5VUQWpYETQe3XdO
YC6EzOm8E67iTuqxWq/ovo4dmGQrEdec9su1gvq+7Fok6PeKZPhK4vV28Z9w6d8JlyCjEDz862jp
f+pHVT3+HCk9/8VfCAI3+UcSuaBh48gDJWAE3Z8DJTAF/0Cg3EHbn1PviQPwV8E7IlAC0w/PCP2Y
J5Gb/wUQBPzK7LSxR9Djm3L43wqUKN//xOczt+O4DiDPkBDJh8b2gjhA33hpGoSpvuX2ihNU3ayp
R2UGRZRe77Qu3eWhNDqOB7V4NdQ2tQTBlxnfWXHptAEI1ENnATIi2Y45xEAMp8bnMK45W++lTfN4
AT7YhWu4ASqWjRYlsLH3x61XY/yD2gfHmPuGkLGLIAbYnTXd5wiCmDwYhcB456NMhYblOlBIOXoq
K/oApGIZJJKCklFHO4ixVF2xXVSO2Oz2pxd580yx+tn6wTFR4v8xr4B02OA64U7yP4AW7svRaVXo
INq7Bt86NY3gzakQ5OiRSWLi6irJgoRLzlQMmu99yBZyxyGScGtuPkieRzhTNt+/fksvpBa4JTCF
ThD5dEgAn1D+5JZ/kheCaT03rZLZV0oeARZrfpGZ2GHoUe3NrbBAA6+hyAGqt8q7eABBjkBQtCnZ
qKvHdlZL328i+hrleW0Twub7Nc3WYbfWM69ir/Warw85Qu8Us8O16sPrdeVIzfdN4ivKN3amhih5
zsT+pbvCr6RS6isMMr0QUDQYegCcMU2Zn54Jl7C5sKpafLMnNvrbQBRW+46TrV1vXh89IDk/v08u
RLLi+7DonZjBe5kVLHXTJ2s4p19pMrmGJlqnlQ94xWaFz1Sq/DeTagMv3yxIWFoU7ZwsGt9VGOf8
yeaB9OjlndB88my4tB4coJd9JnTTFjuZy/DrqGIZXgeEzZqDs7FA8p1nhBxB+IdB/hUpZAaZzcTH
UphJiJVJ9GKQXepaJNuB+3VGDqLwv7mQFHKKYd3AXIATYR675piFIvj6oDu/P2sCM5pINUCsjTX1
IhcrUSFCRtttvqraD5roVCSpuK9dzWIGMpOlWfdmTtbUbi7bgtKrvcdqqFofShV1xKZUJNMZKElJ
ZPgW3CPs521O86i+rMZM0s8hX/KRsXj9pn+bkhCt48ABOw9/iznz4p4tJ7NgrETel3pAi3DZ9Qu5
YbUZCRWX6Q9v5vdrMfExTQ1tNw44KTghfp7+dPzJCMtKfZlBpcagM6I6Ht+liFIxJV5/rN8mASkx
ndUIZTKTY7/c0Jykit3ZtcUXQcmOwZVWUpXfR2fBfLVtG9LNXdqMrU7/cF3n92ckI4eeG+Mk5Lu4
Tf/6jKkFLg38lvWZfMJxV2TFg2JQWzowubS3DlAIVUNU8avocclr9D53vZQS7dnGmt3xrmjWSRpk
z7zqzxTDSkrTInTxq2oWH0e4P4zSCz6dUYMBVPf04qHUx9iJ/Hq7QTZ14GJk+xksEaCTTUmGt5IJ
zJL3sy52tozHRHUqvLZQi2B+KOH7HAYiXBY2ywRQx/KFd9mU30M02/iGIvUrwNyj44Nwfd6Agbqw
u1Acyyh/ZkkCVR10esVLJ2hWvB0hcd3WO+E5mGnjgpCaLRoqPGxgkFZzHb9N807PH9eFmRxuesgi
jAXgeI9N3l6LsC8Prt8HzNg+n4r5poPd1HwLJzi5DlJcqVpvmNBJ8EEUghUn17bkHqnEJwJEiSCH
rlSL0fJ+wAd4fVi1F413dDDD8Z0q+ZcJZFXJmtjkORifljh/nrh04+UFcXfpdRabShrzHdCM0bVF
NWXJRSgCFDlKl0+GwDz4CKR/NDyOwTjn+q2eoobDbOnnki1YgaPN8HTIEi5tFVPCx1eMe7kaZNsu
vPaSqug/Us4MxlPqj31xVfsiXo4ThmviIu/Rbz4fEDhjLs1xatZyMRbOchGPKuewtFM0w2gwx6nL
JtLFvYaT0PpUZqrTjwcISp3zqMBaoCrubDu1GNDAFkw/NWdmw6xRaLEQ91JpyH+KqFsa4Pgd7K2/
vqOnaA3UEHcLNDyYcmBXECtZA8ZgALXGpecuZyNewDKF1wgsmFH1qR8wcgbQxwemCQDzuQBobtVb
J0/MFT3L+HcuSPMzLN0SIU5Ft9oy06VNNKeWVyGCj9s6roLNO7RkWig8JTpgTJcuKCHNbEaRwHwh
T8e6k272bPOFFPfwsTzoTFexd275c7F86RvAOYhRz0jl1tRx7NhJb+MaEQtYGtGAvQ/WhWIE3glS
1MRuqEB5/G5BA8o8RJl04XzVeynNdVzUje0zQtUju8Bert7Iw7SoLnEn0ut9fspir/fG80SNPt/S
gidkKSBhR4WCN68jdmNJzswtLTw9/zgNpbkXP8nh/W9DnLOXL3AxKmYKQutk6SMiGdwehp+xidtS
/NKLa4W8ePChGHx+2CbeguYhYCLQa+ihjvh/fB/I2BnONY7MnKsJAf1TqWef8cns0ExRE1qPd10s
+P8eeVkWcERFPLwmdFyJMvypYJ0vciF/3NBLIxAre0+aJY2rF18KjtThTQSKuFFQ73O88Q7Ahcso
5CgUquWEN64qm6ux9h2+EESv5P5WYjEzq70CrsOuo5XmBKc5roNZYvt9l+RBYdojGFqZnSmv83I9
hDb0N6g9nXfQtEzowjK3a8o0tNvWm2BZZqZ/rECf+PukgYErOPqmNrwOg2Cknp/bBgG8DdPSK960
To4fJz7eVHTYrYpxsZ0DVV4FI75QtpHbgG+v4UfONeYn00WVKkT2T6mleDe9HxdtAJ4I/la9FbQD
svYWs6HUx/JGtQlEqtAuYAHv2YjZbvbay8qlh+8xtEmyGYjbQTqkbqgpr3nlYCShUQ/wK8yNkdDz
c7PZLjxzUqKPQAlAUu/Ls0sM0AYnutbIrJvJU5RmS4n0RN/5QAPSzEt7mBVzKPWKvsouWlDJ/A4m
wyBBoAUeW6XqBaO0w3DX8YAF2JYz9NdqQou+PJSiH3hLwkHpHROKpcGcfptACGaQBtOyYtcpulSP
BxsWHJ8khaHas9EyNftSZQPDfZvo0kSEuY8KNchVfw4ZP51b7A4jo8hacFytmFAj2L2lNY3UniIe
HqjM9LhWKzeeA93h0r6DYQm9tIxd6fu4dBGnfJMGHSsP3IE5ZLUeeqbjDJSvtTiU5cL+AJXX8t/M
sHmQ2WaLCvxT12vBI8WtbJGBBs3H9W1rqpYv+DGRjfzIQ9j1zeBMbU9/+1hJdtVkj0H15FmIUK6r
xGc99jI0gyeRgtCGinOb9tBYL4qWw39Bn3yKuGNaxxajBDI4YmFTuyOcPsVQ0RnBH9MacyXzu8UH
WIqJUzGbwDlsDZZ3q1CxXh8ci1kJtiiSiZw2RL2Zzfq0IBjprR+nQURNKnei7hr9RQHhK6mkxmJ0
dZbwkyWmWt7azVzfJcgmlswhmqL9eYjSC5LB7Th0XwB19taFzBrLv0q5U/C2AtPbTwV77krbTbT1
V7+sV/kOsnMjHycqQNObNbFoFU8YVLcXnRfgN0vFXyRBt+3BKCsw1hO412vZo7zRUlDHDvjSqzlW
UX3T4Hh73hHEr3aGPANvU1A5hlA4VzB8MMiS0wIKBX1MAD8dDgb6Y+I6g38b1nrxM0irfjUbpru7
pC30F54/ZZ6mtP50zklWb6O1nlZI6UW9YqycYrzSXswsjmET6oryk+10hzGJMm9HE3te77ISbS8O
vlBH5woT1XjjUcl2tkC7EsyeQgi4yc5q3QgtHQg1wNaxCDhFrqd34JEmEBXgSe2jMzm5i/Q5tGLs
V+hNw7BJvcC66aq28e8H1QNxPtpdtHT9PoHeN9/Nevb0laW0sN75lq/WBy2Y1ZtAhqG8X6Mxg2tc
a7ix3ZGGZbbOeAhGeH2h71EbT2ON8S+ezzEV66RqPReNN7kaqoIDZU18pQvdGh/eUC/9t6QMEITc
DlHXRgh6qkDjQ5MiCBvvBhrcdXhMG6sKr+GTWFV1HMOOsDb/llODp25Nx6BC1HznBNpQ2UNPe1Z2
LV0eprz5EX3bCyIIzrspazDPhQZYmAMV7AgE9ftpCbrO33XpJNOReAqFkeoEhSwgGksBgXQHiYY7
8x+Md0kEJT1QxBwrCRsJi7vHcoCzlgOc5ZD7odnhqI+bCLOwltRJD0CEJ6QheLBuii/o3liEpAFo
c46eIG9KThktKEED4IgivvMwBK2JU/AEMJlDVDrYEoE3Hps6OQ59U4QfAOwbPyGns6IKAXsUZ4dd
N/QB22SgFJG9oVp27tF3Yft/QBLPRNEA9jr2shI3DzY9bIUNoMgDKmnvEVIOV++U+G5NSCRcMn7r
DAS7zYMSlyBAvA0CiPdsiPDhOKOn2PMJTaYl0QxQJyJzcsZQ1bhTmeXo/x6HaI1aEOPAU/hdC3+D
L7OB+bOWFExd7h/PDLNPVn4EOQb3cSfhjgS9bUc+JjIx8WqSjuw2rh5k+HmaetEeQreMBFrz8DSd
g+46E0uJLjIhS55oM0ZAvELtfB/QxIIsjMXeaNxyHUHdYIOPEx7L0NRlwPCzhy8mRHoq94Qo1nBK
/TjBfBCY413V2qZiEVKv5u4dL7UYyC7zy6Q9LkVD0lEPFgPLNlOaOxiUlTN9/hqJtWcJbYYOoT7q
QyLnG9sGIUt/VzkC5dsNAZGZioVNHPAuaOY0+IC9KLWn59fIgek4D6R/g76LwU3wxB7UH97RoMbI
kUABq3HKjXSDnSYfxwqUNsLvXZg10xmKY+F4h9yOiWKdtTPFJykBxeZnnY3chMNBWdIT2kwuNAcj
YwHx70NDvc6Zt8Vky0jDV3aJUjI3NdH8CExfBie7y9QY3+AS5rbFZZiihiBPy+qbdeB50uZRR5i5
I5L1vlkitMZMwUuUPR9IR7wxHksHEPuHonfMBPPSAXzwsXcjHOx22fPpmo9jxqE5tBOBqjEYJwoM
PWniTY27+7JNwfQQWduMQPkdxRTBD/y7+TRRiVxvpjqOOC4d/LA5w3IgRdxLFQ6ZCea9ztzt8/Kg
Lcd7qYep5aVKxcbXXHqzh+fiGE/Yd55oIoPz2DY9c6GGXkpMUB58iWwwWsjCTcRVMzkZSiFZDa91
OOcLgKDtarjavNuB7jfXEqvkEexuLEwNxjGhdTK2pHwZ3WD5OMqhQCZEVUOn2VyWyfcu/cnRFWyK
wGWeNbZrkkAghWRstjObF6J8GOA3JJ68Z70E63LhTS75Ew3mZR6Ps+v11eOYOzODkj5HPiqzR2IN
1cZgbY7FnFQEBj8y4ngVCYHBnGUoRe1F1nv8lJGzyP1iWdb8xRuHfr2xrdG2tx7CkaQjCK5myjrF
YecNd+EKg8LCZxC38hsL9QITs2OzShQmZ8ck+WggmEA+o2s+3qUqzXhrhh9BuD6j14K6sBwB+h2i
JGjXB0bd7Lir05PzAhPqxKRM/sB0CgMuT2kvXc1W2bEnh6cuCmad70U0M/WxU3ByUpUqJo56Xnpi
pLuJCKbVJKLZIIZSqx67Tbx5mBhiMmUxK/UWMyVRFZ7EG9ufUetiQFaTcQeJpRlIGLVmiZMtZ91V
iHiroU9MZXZMMRQc3oZztCoEJ2enPsVABJTkYLN84gOQ4yNbJyaWLV+T+FqyV5W9MJEotF128e30
nDXCBMGI7qxHRIVNioB/CLeKgpxb75NsNFngc2JRp6u56XadpyXbssqWotvoeCXj9QGTMtFJkmxm
/5QL8Ev7AlEbbn0QMyfhHu2sVGtsM5Elv4o6iiN8cF2YUYsLVgF1XF6jlSNKpIpCbNAYViudAXRt
q0cPrwm+cHneOZJZmUC3cfCHqP5Q43pZ5qRmhG9vgm4j4JYALahfa0ZADqEwQiX+PKfa5JljbtV5
sEMHFIOmjQIWyCt9vVD1sqpmLkl66ptynotutPvrJeGRidjWof4chJPp3jxPDfSETK3y714K1KSR
BjcNI1pTL4qUbg7HaaQ68bnwU7M/ofnijQSFbNbsXa9f66ka+FPfhfIbiCLsbYHuoHf5W1dK2WhB
TXXlfZ69ZiCRGfLGZSYG2s9ZhrlsHM7CNWzZNAaBAiVFlLHusbjGt5C8myqE6WwkpLxm73nemX/0
PoRE4pEQKQoUZ0IU9hM/vX77v70V9HShxiEeh3G4A5zp17cyw8ujdxsFj7pwZu6DA8qkhRyupFCv
X+q3OedR70ZUK6QT5Prxy9IxYVThCgKoxySPvWE5pUtcoqS1RmaJhCmIiT9NuZctFIcXE4UuOuXU
x13c9H59OInmbJzRK3hEus/sUXpmsd0MBTv7u8xFXGnZpQnxPsHEws/fajey5Rt2O0D3rz/7y2Gm
axrAMjRdVZab83JGomA1j1OSeZ+oSZA6LnlOlSoWeOPlf3ihL0fZDVAJoBELni2ig/SyeF0RGAJQ
LJ1P6BZF1RVEB5OaF2h/csjnrokaX3+0X9FrNGgC2mAxWq1A68yu8mIG6TJe2UwW+UkK+kT5Xnqp
2ebYFBfeayr7enawBYJAmmxRQsg5GV+/ASMY+0t/ilDLc7G8Q1Eujnj0lzuLnyGC3UXiU58jsyr2
9LJW9C16kScQJJ/CllHmJjQOMdvgpf8oiluBNiWvBpsizoXpeXCaMjAlHkr/C6u4RcCObGGtUYA3
0i5TG6td7Gkrnja4AWl262gC9kBpAyGesd3lqc3CRx2eHnq509FA8ciZ5IzDD1QKUe5jgnlXnxW0
llGVaSvLxFYK4hSbhSXdiCwGwXRznIddQWyDo7E54rtOdtxW9FygV4T27JpV5ZqgqYz1U8TnAjgC
0FQ2JTuJjfQF4x9npaQy6Y4zktMXuagoy74+/L9NuMh30RIMsJ00sMuXU3sgs8gte10+tnnvEbNm
nTYpELQAEwH8KFm/fkmzbn/ecs1Wi7gvPZoYLEBkxIV/bkLRc0KmSMXTxwQeGm9wKGCdX2FW4FbW
NRQI7gClumQgiZqd1ASFVt2Yu3n9Nl4+OeaYPhLscBt4bBrvLw5RgXfwxLvMP1YA6xDohSDW3LvV
5MpLV+k/+F68nOQwBgMMP2M/9HDk9IMXkzxEiLPIO6U+jX1Xrg9BGZlpUZadiaxefy73xZLm21Hj
Rz8tBI1KUmq/eLAMYFZdi9G9F0rb8S6lfKmzQ0YZlUwXYh+nw4aGd8N/Igo2zMs58JIHkrUAhgoW
2wTpF6Q8pn/fTV5NHOqsvgnUi4wMBQNoVkXelrkpa82WKQPE2kDtz8Y4NGXiqqE7cjdajsfDWVXA
WZRllukUOWNj9msSgmruzyyMAJf6IFp8tp+Fif/dPj9jAMbXg1BHB9L7vREcBJlOmnCY74emNCdz
2tKqwL1oasmcXx9vo8j583w275TNC83NJORYRCTj1/k8tR01VcdP72K/fbrWEFA6rVBcNUcTWz1b
0HPvvQakwyggt2+qpD9+kuNgKgTWZDO4gR+Zeia5YMdO5zYKY6YzqyoHa71ULFWwnnC7q+m4AIVl
7VQiJT3Gy8WkJT8af3SLTBPJqsGh0TCJbTQuD2OL2pS3WYOSq6CTRzgcPZcmRocKqEaJMDdvsnSI
WhDcGNn4252WhSks/2ihsSKZuyU9D869FI0dvnBxmokSyOtDGv+6XNAV90ENICGOWRZnYWC/mMI9
TzDGqO98qUcv+lBKEbgHl/boCeH6zqfGn0Pq9+fkYonxwdx1fipOjVvVD2NW2NAJY5CziYJznlgL
zt9hrvv7lPxV3dQzhm/bPB7dU5GUb7GLtL+Mna+6TSitHIW2KAvfjEHaXuRIFlxxIuUr2XqOBaEF
KO79Sh95PE/RoQw2KOnY/o6qYfVgrZYmOahnJPBUIm98TqXq4NeWdxUtctzpbun39MTrhxxowjkI
VroEZacp57VQpkrYpPUncADBxTJnCO4Pa287O3CP0Z3L+fzY5a0TGFxnTgkjU+rolkLcTQCiHwrP
Q14iti1f7Czqdh/x3ka33OrkbegrRViUDidY7eWBNsEC64Z+0bydp6SwNoPfjOe1aPd6SkYKNnlZ
vh/wjqFqng7VTk+yvYMSSknMd6ycap/lb6F+vvX1Yn9GgUN9cjAEvM+HYNjmc9hcVJECIFwsxTMk
8N9cz0wIwi+DTiNSoR/0W5g+BCppK5QWv/YCxihCIx36Zo3ngAd7feo94RL+73R6uhLGZQAxkOLh
nHqZW80uzt4jcJWvKDEwlTyXXRQBjMYpdtB5IKy6TfqugCzboUsdQPvzxq6oj0g3h9DQNGgoMGzh
GxnK5Fzg0XHPMaQIH4Zao6HNme5q0XQbVzv+W3ssxfcGObFLqJAoyruLi2MQ6Ruuxo7dbXFieuM1
2Jlv8KsMKWpUtKjwKqTeJJPla2kIK2U/yIOTBfajPWtvu5JX/a0Q4WlEnkafMM2HS/ESytRSeov6
IBNfWSvzTeKmotpjIa9B30s7vH99/H/dTJ8vhsgQYDhkkBAjf3FQpqtPWC0T8TW0owZ81mzfOYLa
9qZpqqvRR+5iOwMafkt7Nqr+EAu/AOFxcRMGEAYxASCAuy9DAlxB1ezHy/rVH8wsywsvP+J7XJ/m
dX4UTlJ/9Kxk3g1uRtOjl1Z48sWCw+rrQxCY3e2XKRgZsCZSTy6kEo7xFweKU6UN7YM8+poNNA4o
p8lqM8doZSIGVK96N/pIHUN0mIcNkqcN3Z62ObXUra7GLoT2V0eZ9WZ1Mv/krUgRo3ycfEL9UgRb
WVlXxSKiS6j1R+E13h010PpNazE7MS3r52W76pm2S9mqdBt1SfSOsHFs4UAX35ewLK69qCuOFZXi
E1Ki3ZsG7LvetakaPi91PtzbgVu9tUTMARGiZXLwXA0K3ZNFdjfVCRJ6eW/zACiTJJtRZ7QAorIH
dR1xJt76gRVfFvniG69RkW5oOgTzH9a3GbuXYwv7nBg0JJuNXHPy/AQAxGCb9hr0vK994QfXVu+V
D0inLSiq98K+diYj+vz663R+Bb4yq9ATNahb8EjwL4HG/XpJB/sT2XB0fiu70j+nbIa2aDos1gWF
yvJAI0Kz0weZ/Np5dv1QZLO+LIrEfmuNiXf4w738k6lFJAqmF0gWmgkvdzfPpddWzVP1DQ1xO9ok
U1J+Bkew0JcS4htRe/R1VUN6Fgrr8zJCwQSfOGKw/ofb+CdDEhuQKwscTX/jFPLLWwCLoxq1RvW3
tAkxdgpVvtyEK1I2yLiG+mCvY3IHr2o4IFeV7rsknT/msURlB00p5+4PN/NPpkTsm+olkxNg3EtM
6NoM09jOVfkti+zwFgK6eufWqPtCYywuOGKG66Hu9Xnni+asnj3nSkMbpIhb6xn/5zwG8ood4WVh
Dd53sNl9sIn7orp9/S7D398cSQKbrwvLDAz1SxgnQP5AxRkvKZtpDVFxadNPrVzzEZoN+sO97VbU
ppoWI2KNEu+yQ005YLyyYkeFK0m2tKoRBZJtGH0okMg1RXuaH8JS+VUVFurUe958HaJqcJbhQgBZ
DA+zaaMWx33yR2gQenbidhs3a9AdLSb0oay0dYXbnzFQmCLr8uk1YuRHIFIGRXfIJuIu5DuL6rKh
QU8u4DWolNd9LQADoeS9H2lXPwQjRQWiSHWr3VmgsVx7coNyD5IAIQZv6zakXnvjJYWgWQ7EE77n
TEdQh5jMI2oVdVcTirpoQxddCCIaaSfnDFjRJI+YfLvvtWyLD4OY9He/cAuKdGOZ/qlk6fx2bEUh
CM6AJQ5mmqTyxYQem3Rpkt4fvlH17rN7TrcAqW5MiTeDQo0A6kZFT0mtYbyLZdB+z1c7gloNhXw6
elGrHoKkzi7taKruXekPdEg4BQ6YXdQshqyMtn5Pu/d5Gf5HW+hu6b799389fm2wFy8guhVf9M+s
CQ54c/T/a6LFbTvo/P9tH2VbF+IXwsWPP/2Lmhr/A0KDHeHXAB4ER8W/CBdW7MGdgNMcgoHGPsn8
5i+FoeAfLuBzA8km8oN7zlRBfE7n//1fHgYv7MwB/DlmEyHI3yJckPH+ctYBcwdYGlCyNLUAz/mt
EDDAZxSyLPBeoy86UaSuvGlL/JwcczyHDqFw/WErsjJ+m+DlNaKqLIrrKSTvg+MfG3jc4NyVaeG9
f1rZ8OjELarN6Se2dBCedHsQQJjW4NRJj0CcA5D6Al7BO8iq6LDR+A6bnbbm/8/emS3HbZ1d+1b+
G4AKG/M+bfTMZjfZpDjoBEWJEuZhYwau/nsg2RVJ/hPH50lVXLFDuZsY32GtZyWEADMgMU/QD7Hm
iZIrGX22eaTLydRGyTicCWyYBuGnuBnH9bzUxU0OnJ7l2GRtU62xLhgNxrs0CqyFhN1rG11p5hHe
GmsrTgF6GvZRBjOIkV4OQ6Fza6D8Q3BkgG3rctM8DnTJBznGerEZM9W/6jlfiqdn0H7lU6DQ1BYQ
GD/oisZceRXQWv7F2bTBsWgexgDWro82g/g9gMGUP7onXYA5ev6NHtne24E9wrkDxb4hyDF4n51F
cQmNonmuZm2BhfPNnsloaZ5hRKRXmVJMB0sW8tAFxWPVeOWlxWs73YxqDO211dF5EzfLPGBFvKEI
fF0gYEHVV3n3Y8r3Uk7FgUxEEAAZRu8JOCgZ3XtSJKtPIvS8uyAroZaMc00rGUiXxzI7oxIWDSB9
e3YPY5VXl1QoeYceEFICYkR733D8mBYoSdBBTJReFA2nqJPGdox6WE4YFMoHIZR3T78Zn5MUPL2c
PHufC3Ju86AWjwGd2oGXC3LOLLYOY+eWlxQTtPYwW/kEKj0RAOOGwVdZ2lmguXlWwrrK2awjZkNt
HavPw5yrV9A9xnOlw+r3WS/bbGWwUb+zkPE2dRvhC2VwLe9H8IigWiz5YFBm3o94QcMNwgoNC3Bv
fgJwz7uBK882ECBqw5s3p3DTG0E+dmW64bZDY320xqSI9wGDkPmA5daANhB02skISAD0B8NF/wpu
vYhWDTbJ9hDZqT3w0iNvAMi7nZ4ic5R3lcfIayWQA30EomDdRo2mQ+aHiqnpixiinG3fYX9o7kLU
M4SSaEmC/GSlcSBQC6CI814V4ReEzstB+UgWzIDzs+CpGWR3atgwQPe2YS0gLuyDstbaY+tUHeQY
pab42aga2R5t/oMjiMvnBQqF9jANdQNwM7h187y/ifu2eY5Ufg6kGZ6I/4vllwSPTm8gxslLSzuG
ue4Wa9fI9I/MZmKCgidkivDzNkE9pVvd4W9bKtWDmsPhKW6NeK3JqLxtkkhtmqq9Jp2I1nFWGQ6v
azZ82IOi4clhR+Tsub21xyI0g11Zk96NSBG9EaFn5KmQ/QHfPx3DrcZqLXy3C77DHtIFbU7fGd16
asfxRvP05FBi0lpPsriWs3dqkyY4sBVufAle5Dhg9Nq4Y5xtrJbGWZXjDl6j9m7PPGkgs/gqmHej
JxK0KkARp6p1z800PrRzE64hbOwwe9tPol5s2R1I2JnNwGXw9Cvxigb24ZnT1khkrAuLrc8CRiVI
S7ZB0cDKtosbvaiar8nknsFdB6+qToc9SvXsoXDIukh6FKoT9moG3E1/J7rA3KoSmuJA27OznPkc
KwTlmaW3qDNgT00iJRtB408JkO4oAeqyWqfe/FoGMKzx1Vzmqr5thzTwK4Nk6tQs650KIPAmuD5v
6zoYLk5DlC3gzM+Spy0sHOFt4mAKtiXQeMSwFCol/uL9XJbAZfteOyJbFjdTRnJF54afytho1iH6
Wz910egaksgCtIT1M5XOsNcZ6H5cRhZcGIO2C+vxG7KkbDdFlHdtPYjHXhjBJzO16XrGILIOTmLl
BEHQiR86pxzSvZlb9k2hKBhxtDH7qkIiSYFLWUeP4B1/1BiNdFUkd/HMqylZFFCtbVGP9s7sAgln
JMR2Zo7Zzqi4vcpGBU9S2dyyIKlQdXTReaYs/1wQnkPNNcbpS+Vm+VZ04K+C2PC2bBfkrpz76rUa
Av0Z/Ji2aYkOgb1XzOeCivIG5Hi9Rxzn3SP4KG4ZoWkX6vEnN1Q5rhKpum1IeYfGLhDjqhvBah3t
MQlPMs09uQoLW/lZG3eunxpmGa+IoJ1RIuTTilVz6feGIFFhyagGpwl5TwMUu3Mhru7wK6ZHrYb6
gjgWQrHWaU9tpTfPXHGFWsfdUN3oZn1FJ13e41nRz2aSFmuv5Uh3GZeBBUlgJN12FJG1NwyknD0E
F0ilbvLVbKz8K4r/fO1EZk6yG8sfm/egMx0L3IGmjwraXi/YzY9Imfsr8hXvfSQekZ5MeScVGJ80
SbJNXIQvWHLGlTYVut9Y9kd25dot9xT2aJMYkx6yALeSCj6GtQWsKPkUON0Xz1D2DkVkSyUM9oAF
xcvUT3LdZqUB36p+UzkeyN7UD5g8000tjOprGLg9VkMNC4hnJvveYFPqG1C42NIH4i4jpWAD+ja9
LwTr+bAtwFzV3SZvDUBtxI/HKEqiegAfJfKZxIqW/jJv3rskegQjSClFfRHPJlJds8/gOyXz2g50
nKFouNsjUIKlmFHEHVt1sxp5y22iIojfjDR91AyHSemg9E+kOcZMZDz3ay3qa9eLbwFJRIAVFWwq
97XIhL5Wdkt2Xqq7RwmL6gStylq5pnqFU11tQRccB+KPF2tltSEiEkBs2JvMcaf8wMTxgDkeFKkj
PsYkN50Q7QSo4h2xFXUjGQ63kV/pya7us+pYtuODBXZnK+aoWGW97Xfo899b6k+/NbvyAYZw77Nb
51gHOdk0SPH7je1gr5+KJt+OXUlWk+Z9CeBECBUGrzoWvgvGPwISPPteiZbryv6SG7kAjI2uq4ri
6qYqEG10yvjq5gOLZPHeeACUSXfKKl8Qq7X3KsLwGquyQNQDGWZ5FO2oWNwrOmqCa7IhQYynjRej
cIO7OiiPNSe9zOpdHIHDm4gBtt2KS1R4IQTl0VjXLM7PqNg+QhtxrtCXuh0Bw3aH+aMor120JCOR
gOH2cPqdsFxZvNJPhB85a1yQT+j+dkuxqURxgeAf+tYgb5DkfoOzvFcGUCAWpZdgaC4LMI4NBPb+
ht6/yj8hWipWczM+Dk13V4n2QtbuLdVa7PMvnrjvCRpEqpxSA3YhoDVuc9vLaN1tM7bRy+LBPRWJ
552cXBU+GVKIx1GNsDvL5zucM+n/DPb/HaQfRCJN0r9v/G7jhvdBHf/cLWIYXv7Qv7CyLKXYKkJt
+7nhk/YHHojLCnDhE/1JIdIBzaKc0g2XcdeC5/9Xr+cQ3Ikrg7kB0wJGkf+s1/udQqRj1jYY59ng
Y/Dt2r8PIGrhsAggyvw42wuWn9HIMgm2ksCYVnjx6HbC3D1rtl1e42oqzvMAukt5uS78QnbJRrix
/pC06QyMzRjTS0QZlKJvK5KVdOvdSId4bLHprfIeKtra9kCFrBAwo5YI0sHFbGdHNz3txUkP0aSv
SlyzGC7TO7af3i7XZbQL3MDdWeTrtOQRkcFGbLbzXeBxSNFm3XbNFKznuYk0H31RW6/ywTNu3LEc
PqVMCdP1SDmLxLLrd4lmtPu+KINrqSwLLYc2jIdO/0ygV/nmppl3O6dmsAgsvXbDD4SboSf4i7xP
5zKgdaZFc0D/o/gv9QMQJWuf1ob2ZShr9Y35trwgKPaAdORkOoxGQClO1ucdC/xu16LmvVqNNRDF
hRF6NaXJBLQdymECZMNP7AS1Bx4lxaswRCWMFvemoQH8UjjhstepSuOszao4TLF66eVI0s0AYjxl
I/kRh2X7IGUL5pEYlvozxq/wpUbeL8EDM0pynDChIC0ILe+8Alxk6sY4yuOafkSmrm8YaMQVA7jO
N6zhmRcyASJdkX3OkDLv5QxbQcDA+TLrHYNWtFJkvdhHTCgVffQ831QBMYeF7TZbd0Smua7B7VH6
T51Rcz7D9AX0LmQ/jlLHvy3Xmq3RmNnNJNzAr7H08ouOkke6CLqTiG1tn9h6tBvJoXssCwBAaRuT
izKgxTFAppYl2h07EWstsAEwRtQJzSrm2jsoJmC3HdnsDVpn6HosmftgG4GaWWHZgfA5NKTKZ7yk
QYvLcSBZz+hqvxppHUkibOZdlUTFXeywPbDU5J7CmrAHpMDdyqi9/LZqteRkaCa8rBTHlEbu0eRS
iEHKegog4hIu2YXWZ8UkE4x+ZTs7N6v5qUrP93M1h+66d61wTfYlMtfclveAQSN/8DRefHnvR1O/
dmr7DOaz/1K4ZnrQ60b5Q4LeASFAR6FfROPNPLcOKXV4Jz/KMgletNwJtWOgEPBtJIEy72rQG+BU
+tBde1wxAV6lVLy2IJYLKH2quxddoT7VFAK+rAbxltZm3fv91E7XZsDYvbfMdGhWtSfLfWxMpCnl
5miRTY98bUXenflkInu+UXpkfe4cBZNeWFy0iykl21dh4X1K2BHAlqZZPSCKlo8E36M/nxKXiYMF
WTpbI3svt15U5G8srOTHOrY+0/NWa4eR0C1oqumrXQGt5JoQZYGhKChekhDlgp/VSetysor6tXUt
dCKTm1QHLyjbda7BuWGIbctTZIzYDdv6XjTsEWAzcz/XOqX05NXWxsuqmSGrC/Sx75r1aFUx0HtJ
FPbQqmNaCvdo6w0p2GaUeBwHQM5wW3miYWNzfU1W+g6bY3w1es3elbGejnSybWBtLLfWX400kpt5
CbToDZ3wJfTRcbJzkeQB9zXVObUCLBSyNNtr7cUWB9bNk+c0TtS0oiQyBx5mAQl14Vh4Cz+2+tRj
Jqr3luYxbNdlGODsnZqLhcPyS2m7YNIakfQkKU+0YOkcyVWpJbJeSbQ3W82L1CdnmIavCqnpK+FT
4tZs4iBndQ8UbGXamLR8GZjqEk0yoFw0qqWqH4JDZGjwr9gnP0C9qtZeKocb1tOxT3FNx124R6ua
WMoVRXYvaTpBmpGjnKQ8Nkthqd2o54/0L92uqSEmx0gByByp49qlPpkKH3m8s1H6OL/jrR3zTS/I
6QOrlm/0MmKskOkeYCldZH13Y2XKKVANUX/Hz7MWZsV+Yi6V6i/elDrEO0W1Kdr2hRFMk1yAMRCX
LhPnIpIh2OJmo83JM/0K+S+847E47lwvnQ/gup5sqyiuCkbftROQWbE9JsHTUDvFi6nVwEkKiGpA
rsP0CfYj8STMn7qrF1fFHQ7M/E66uto2YQ4mIk6tswxzuuJ+NjaJXRNUIHjbgY6e4nNH/7tVnqsS
4lLz/JxIna/rpNoWIXHEgUF4wa0uDUDjdeOcFDC9yzy2xq1tFwFjzrkNHixAHAdgZcNj2GmeIu4w
iL6aszZdCi3s8l2rqfI06VMA0bOqHrA/ugf4W/oX3H4zBqPa3o0tHecYqPlTytSv9GelzfsQ6842
IcNzNYq226A/7zY4OXgedbGYb4yWoR+DvtLPh+ROZV29spVhXgJE/xYP2TS4DnNwKJ3EuK3HMiz9
YrZAi3pdeRcSZbJbjucjti5xkgnhiDwu3F3CHpwMnb43NwbA7ftMztF70FrxPh61gQwWNVZ8jt5O
x2l2p3swyAN1tpSHXnTNE3U9/FjYU3vuJ2dBiuL3NCuXENpmoFujaZxwDicFwhoQZep+MPU8hmYO
y5sBrNhgPdb3icqsS4fu7HZ25XhoeDEyRzCGM7miX/SSGZdoTKNc2Y2tcGBnEYmsQXpoSq1iDR5p
zEd6HjVcfhEvaeBgts843SUTOEnvAkkJUrnusE5b4bxi8PEuBmPnTcsyu1gNmBvxYwyDPWMlMozy
oZjkC2LpkCd25EXVjWpw6eLK8XD89fkgX2MtSB8A1DTqzkHY2uwZRCttNeOcsP08EUo/4TWOeY9J
UegKODENlc+LnyNf0us+1Cpcjwjop60ZOfDjpeP62BkWXno43M8Cc8wNVoomB+OnRS92Zdq0qA63
uI+PAT5uPcw1sNz0BzpXCOIw2l2Jw0LvjlyyBpBd9wdyl3HZK2Xv+EzkePEl6UfjSbad+0gjWB0V
3F61AHzzBeXrqqby3a7PfQzshI3D7IP7a8H/TVrn1V2AwOZ3NrC1YIIbeMEu7Pm943rZnRLZZrCI
teHkGHTKgIaLtFXfzHnJRCYpDRLxoExvoUfH2R64QnuPmRXZbUeYJULFWobhI/rDepPPxnwfzdQ7
K1LPcI2uvrcE/1ub/c3aDDaJ+Z+aJ/Bkn9/yX9ZlP/7In62T9QEQEtt+Wh6PBfZPiRye9wESioHg
H7u/4K8sxf61L+NOQ9yC48VycGkhd/1zX6Z/MIxFS2yzgLMxxIh/AihblB//UoawLcNmwLYOF4Wx
9GrLV/hZGZKIyrAa09L2EpVbguZ+AoIJiupv5AZ0g3/5GCZn5LQv1pa/uBpm0dRTP0NhbmZL4KXM
p7XZ6d4lHwBT/LhS/61q7ldlw/dfCXGzaVoGwxjSUDh9P/9KnIukkb0Z7CdRyovu1P0tvCrzaM3s
nipQl3+ndYHe8ZdfD5eII9iEWx4GDn1Rfvykr8EXZSvhwj+PqUcIQVZleyprDIYUM3lp88we5BMA
J9PY6h0TrbWdESS5YxBsFDtUZh1Lm56WrhsZgFYJTkO4FRT+k6z1z8UY1yfFII4Rdyh3PMPiHa2h
wRR7LI5TLfL7LMVAlml1+1G0TnEk4QAcQZDH52Bq4zMBSMi1lpA4oC96fiBBiz1a2+T3xFfNmK4x
IkboDJ/cKrzVuyneUEgXPqEl+n6mQbm1kCd6fpSY3b3RdPm32ZzLC4vQ5CN9GExbPci2tooKX8R0
Al1ZMCEvAxBDM25Oryc0rQZyAel7rBiim82NK9ryDLYAyjYupDdCKLV95gxqPdfasFdM+AGqjzIg
x0Qzyi+Nl+cnKKFQG8o56mBTDvC9KW23emPUr3GqyYFOOardBnPtNIRD8ypZsE3NiQizZOuirgNG
GXCd+8SN0XfpZl58BiJXvcLB854TmRpXGdKv+7Qf8j3xmipZCVm75MsaEwN0LYlJYkWeC1ccndfn
NMo8248LK7uQek50GjT78rQ87W8mZBdP6OnIEA/iem0YGddeAkwE2G5iX2JTXCP2seTKJNM1UtJh
KKvXr7lbgmIY9Xbr9Y4Ghg+awXud5xF762gBjVbrkCTUm1B6XYWLF8P4puHgMIjNbhVgwWeYa9o9
3eB80megQKtmFCmapl7X1hTogb7SSu3BcmL7QDoEzpphgYZO6FR0upN3oGjt51RMSbaZw9kpNlob
yyOHoMEg4nxRbYbhccBoDNeO4V32ri+4Y1yPGMiJvkjT8KNstJiLlJwSUk4Y6mv56DfjwEYBNwZl
esxurGpvEg3A32psSUDDnJa82Z4O/0VzP+H/NddR6UwbYpTVNRgy4+REzZ09DoMAaeFaXNrcPSM2
XfJBLQpV0X8dcxfmCmvB29Qo5s/tSGQ1Z9b+XI1peollYazTuW2vjJ7BtLTeVbF733T2/KJ1tXk2
5sjYkPranDV3njeDdIaHgumQHwrZb6fcui+G/Nk1gxLxdOoNvQWEvsdQWpDgYKwYbqIUdpD2JxlI
j4oqe26SnnzfPLU3jtGxwJpoAOaTB+1lPKCehhPig5rX9VWgaSHm1mawUAiNRkfxx4Eo1Rr+cZM8
WnXihbBo0QB4/fDoUhFtpICIT2QrUyafgiq2qWZ1evfWK4rd0BNh8jJqVuht3Sk17EPuDUTtxRmK
8G2DhVZZMG1bZxumRN9d+9TmJ80q7sOzo2r4ymVeF8Nd6GjggRihqSa6kayD2d00LElejSrq4HTr
RaDhu6tHaTwl3aDZWzViBXkn/pATFbGm1o7pxOamfqA8LXK1o+xLXzW7Sh9kn4NO0BfJYZm79r6H
ePPkBpNWw4MxyHIeOsdki9Sz9h/mHiGljYF4ZzODOg6MpU6UbfbeyDWUfGM6xaTKz1I8wscIaXDU
8o/dwAkeGD0PXxBvBB6gSIzEVmqahzJDe4AAvED62GXWoWr04hgjC9+0eUdIAXQcZFI4pcobZmzM
L1xEJFvhNJi467jY2JVs/aLRwQ0ToECiA5Gfn8aa/6WYfj/MDXzhFWasrlr3/ZCzl7eqrxba7hNf
JA63qWHBI5lkPq87J8xwngH/OXh6Ji+ZHTtvABT5fmbWiy0Qmvwe9guC3xT5WeFjQ+T/s7U2/2Z4
dfZk6kjxsjRx5jUgtPIhzKmXV8uol+Vpib+d+zZb/68K/G8gtcij/3PQ7cL0fwVv/8sM/ccf+lM2
JT4APMRFTAGy1EE/E/3lB5dxOYltaLExBv0cdWuTvwaLVEcRLWBvLRbkPwpBS/8A03NxMFJS/YgI
+AdI/99LmAV3is8TUw8RAZgdFiXmTyWM6B2FmT+EkU7IB1vvIrQvJhOLM6Sav/Mf/16h/YFW1TkW
iKa+170/fxZYVIbBnigOrjkwTOwncU5oc58mjsBJqfnvCJlLEftzkcvn8UJD/qzj+6NB/O13qzXT
cCtP5/MwpoerQa8QbiWgooFUWeahaAGcEYPuicfBiY2/KX1/NabhHV8UcdShTGHo6f6i+uWB1IwA
ZYvDTGD6e46pz1kBIvFOJI2O1zGY5VNg6H/3K/9/DjE1LaU9gm+utd+d6/gYk3rwXJJmclRrZNa3
7z2jPHgncT3ehfr0jz9wKX/hL/OJi631dz9YQrYVhoVa7iMNG9GP5K+olZvcMzVe7L3z+lOXdffj
7P3CDv7LcUXnB0MUK6/k4Brf3VQ/XbATRdMcBmO/78qRdOXOCSAdzziIehRSqJb9ifHP2SMd/sCr
UFzJhCueiqpyB3aN6UxsmNu413YyyHEBNdH1+FXB+YtRji+T4f3NVYCv9/eLcDFRG9z77L8kN7v1
6w1W5BJfK3k1eyyTofWo5YYd3DRhxggOOiyoMxWK4Qg2HoLWqkHN/Mg9OF01mdV7RHGOc4wbpHz5
VNlvodnUzipy2PvzXkaokc+eOPNqI4KwR3mfA/LoxTmHRMqbKbXJ++xQFyFAwdq2GiZj9raVPYqz
VrtgEztX562kTeOV9gF9XizRU891X9qfvd6sJgb789hv2GQbyU1tLpI/nhLOOvb6VO4TvdeekyyS
wVXVYOERWYDfIzypmTQ6IOorIb5ylY5ENIo4Tsbb1pK9dT8W03ACd5bFPhsR0J2MfNnuLw+Cesq5
T8e+Ge+0gbecJGvKgyioqtcuMapXxH3mAXUxQuuxR8Di5WZ/p/PqQ5anFkbSqCeS4rC237xaH6+E
zwuDJV5QvZpRO141pYlHuyXNLJ5j+82mWSgODLDGV/b/RkcxL6BDNYgbr52F4wX4H91ZnjV8oCzi
4ImoMpKQOm+w37KO4+jNPcetprftJCdtBsj2NKjZfnM0Z7zScMkNIXm2uZ3KuPV8OWoRr+o+GK8/
rtUoCU3MZGY8dLdxOuJkS0hEWmHXqV6Nqa+aXTOAP8JtPaXRUbpBnB9SpakcA4tBQ7BpLSN6jvDr
P+HUm8S6TTt33ABv5TphpGW9lY1XvQKZ4OZXuTzJqZZPVZaTAoyikSsD9YDmW+BXbmpGsBnTyHK8
YyJdDeveWULFubur13EkE8QPS6gg276rl5zaSKA0jRJKj6FaftfBAuTthSVozuX4W2PLWLHzyLdO
XXctPS2C3FJI/fz9Z9qAvU4+6QnPjTnaa/yu95Hb9usBYOu2Uw0XcLTcHnDREN42TRIEN6KBpuj3
zdBhYBk9ecVuKmoAfwwfOlpK1HLnVjlNhSkBY9v4UBHFXNOXl0Apt1mCJiZgQA5SMYuFfgCu4/Yj
dbFWRMeGmHZtN+ldMqwBdE3BtaoKGxlEadsVOWywKk/GLKdXB6PAez9pqmfy3czx3TBpxvDccPij
XVMU/a4hlmFYzXpKaLgHmr0EgUl8OFIUks8eKzOINuOyawwKOW2lCRAzUuNhMJW1rbzEPNte2ZHQ
O+wDID43bViOj06OnCOqgpjTrk1ny04x4ruReGkQ66yraHJWpP+Ji+ZE7XWIVBOu2qC3P7UEWYF1
NpvB9EMZjze9q/V7yytDYhh0oyTvoZzPHiOLd0Dn4syUxD1SojtnAFFoNrvZmk6CRogTPpJXs5qT
kMi8am7fZRypYd1oHZ4LLm55tIJ2RHRr9Q0RHq4bPJmYCYu10KyPbRSSqlqrt0K4yTmBsG7tFbPt
nh80uehqshtDtssIXiPB36x4Lo9XXnNcyzjwonjvaAFv6WUEMjVt9WqDD3jKp6gjSzX0cpqhvh+v
5KIET0srcq4sUb1OTTpmiOWGNxAy4VOCyOcmL430MdH05Dlh8QcveZE7BzoquxhExcGrCKlfSUDa
a16j5aODsA6tHbGj/BrE/yGJs4828D75PDeV+JTXmjYfZmiS3gGgALMRX1TNuDVrwVDZQRX/eQ57
29kgazlmsgpOg1aFdzXy0UPoyUesl+opa+u3KSfqnUtQPDW57GAycpxYL/OctysRH9mMGJ86LSCG
nIWYfgtb0H1gOJO6UHeHgw10qV8jxhI+96V7YyGX9bZ0wMVl7Iyx286W8ZRHXrWG1oIes8+jYc3m
RLHVQptOdqcZFOcCStHnTJj8fMUbq/5oR/gfP0tviOuVUlVQbmevjAHZhUiZURWn2ilfQmVjN0cZ
OpOi8jK5HvtXQMEXNyLwIOFXIuuVcG9G8UHzWo4etcjiBD6ZQ6z5qeg5rQopJDmRjcXDwspCkv+8
ZjpMZuKdtXHitQBmjaDdzGne9SyRJ9TnPN5SOPrhiriS8QrTCiLSqC2XEhEy6FVxEJ8BcfAsVY7B
Mz1hCfPUw0bfgTWVp2bg1PhZJnkO5h2DsJXrwXCLqyUePUrJ01yNZihPTlbFOQzflOd93SNb/i4L
7+0QU/IyYj3JKtP8xFuMSAkvE8QRrse00eTjHRsl7A5YZL1HfEowEXbPt5lomM7//gh0oS/VG4iZ
y6WPMS66a4fCK4DFDdZp6DpisDIbowLYzOa9MNHGrYTJlo03q7LfvhuymtjmOZ2T21KvF5oVOoEW
8/6RvD/h7H58LVHYZPyiOaOSYO7A68tl3XWjsrreAwIZ79qe2pd5gUTKnxXTkfwgpyAcnBHIeCsw
FZm+DirsdSA5NroYNrngmziv+F0ZO/CRBQkN7tVSVdbwtnAQeKLoYM5BXg9K4t514WdazrFLm4SM
eWVPDwEJfa9OJHiwTjXqBKDghNWlGdnrvDJEiNV7ZpgDec85WbPpNTwXXfGQlRqJkl2kfWtrha2j
G+TIQCyjyok1Vz4ZIys7xO81b3IlW/FoAhWtViHRO+m2duGE803i5YgiVoMCZkPmYNrp2bwwax5V
D8FyRqF8c5ogKeTrrOE0agLTxKo1Zr3W13ZTafGGEWCgLwBUy7Y4TpSWD46JI+4B3U3mVH48RGHk
XbPUk3TjaSVnE+F0iGp9Cw9OC8XHxKNaJsdyaO0V5N7xmuklOY66FSCby/J43Q5ZsBqY9u5yQohA
FBiRfmRWG53NvEW/iHt/w38VOgBbHrNkrm45/epaejxZUhBZTINkfNRaFu99E/Hqmbx8H7KPQIzC
3CzrBpvfQzlrprjIXlx5YxGK7KvcvA89HulmHXZbQB5iXc8CReQIwqLExEqQYyauUNkhnFKG1Kuk
J+RUpFQkYA3Tb1ps2UwyywDRTMnuskXjv+YOHHyeCt8KNEdaNl3kaA0HrmsKg07pF4nG92LnrG57
0nydZsr3Y2erDbVx8DA6HXteXqIkKUbDZrSsiwW45pa5WXHP2ea9XIzZkTdfvrPyFMmjZrY495xN
KLNblNVEdnOoLjqDqY+V5nSvdWmY57In7t43Q50CclS7TGbF2unvzFxcqfyKDToC/ZvtBDaZkd/D
tHKW82xAC3ewAm+vJfNXWzmcEKvjFt7atjlE65xU6JJCW+srX+MN3KwmcIs8QSJm5SveVzwN2+S7
UlQ7OEBHqtsmzbhI84inTezUXJFzH3DuA7APzd2UDgnEM8ruHwOdf7ssWbqOX1pjpqY0HDaDhUWx
93vbP/dGInnjVfvK/l709yMK23opfP9zu/aX7scjCYdBBbJC3bNo3H7tfmQQtV1SttU+I9IUIY7r
ikeFBgSM7ijKG8daWpfvj8P//Ll/af353CX1kF0Zyl46xV8/l5Y8M5NyrPaMZ523VgP2kzdjRtKy
G/H8KvNiujrIwHlS9EuV+58/Xf716EIYoivmBudL/A62Qs7B9EQ45X6wAxqQ2auNR2956iYuEWXM
kSv+qoNJejWXyhsCGQ/371/hf3vbv9nbus5yjf170atfZmX99l7+PLD78Wf+mNfhUMeYaHosWk2H
fBWPpd4fCZwQWj5wSVmsDaHX/3Az/il+FczrDIZyDoZYlr0Gc7Y/F7fOB+gadGNEX9gsfXX5jxa3
v1qj7WV45rlSStI+4dphbv/1ytbJ6iUpYdZuvDZQ5HUI8n+m7qWmjS7qY6KTUoQTj6lUhH6raVn7
nEyZ5cMmJGrIdluUf5NVhUdLBl5q3haaAaQNWxY1up7wmmLe3ey6NGnHYJeS/hDHJ2I7eqSQM/8U
ugoyHD7ro273dLq8D7q8G6OT6HN7mpEteK5GnohGqDW5AEV+hBHAXYYZc8HWM2bvEZsVNeiw0mnr
anpI1LxwsTwrHNx7AoK7SF7iuN0MrbR4ZuYevCrf7gomC2h4kA2x6WMBAuma9vB/d83/+6+04ugA
dB6R//622X0t6zD+Ve7w48/8qXfQP/B8F2jFIRkB/VrAUX/cNp79wSFZDfn3cqP9pnf4122iYyJ2
mSKi6qbk8Yx/cpd43FS/vuDgqRD/JDElC8ZHzGJ/vU2kURboK71sb3rh64CjZtU2aYkfU38B7PhQ
o0ko9E69eLl4mVgzbjuXmNSxP7a0MJtZU8bBxLB0aJB4LYlj9kF2abZDgFqtXQ3jQtvL+v/YO5Pl
uJU06b7Lv4cMgSmAxb/JmZkcU9RAbmCUKGGeZzx9nwDvrRYplVS312VtVr2oEpGJxBDh33H37xMC
56YIaUYlbE+/hPErH3mC6GeNdJs9MUndxiTxfV26UbQjOnrcdoE8x33k3g5zhLetzU4Esw38NfBK
NnCYCjWDGvXBqo96i3+vz27IJiR+qcU4FKfjBTaM+c5Go9oUcpBrMQ3dvRF53BDTCP4It72yNHE3
zKa9b9rgk2OxCjOGga1IloZXrY7dLTb5TDqzuFtGXPXW1pzqls02WUbpx46q684cZ+JxHYyusn9i
sIRhxeyHTW2V45co94JTMrCNNFniwX9XNMw0g76trVruh3wCWbbScZua5jMh8OYOc6+/iRJHQaPd
k0EJAWuj/sjwPdtlESJCPIM/zC39JfyqtAbI/JxVza5dkjq0G1/NpjutGg+l6Q3MoAtx9koj/dz2
dvnJ7uNd5ikOrM3OCY4BUjUQNFaxS587/ub0qi7NYNgaAAkIUFXyuZuL6C4xceeZDalupkkaLj68
vn5fmZr/Hi3XPlkJ/N5Ky2g6DigLuqQQKLrGQT98JlKleWbv530cM5Nw5qLoho1TSPcy7D1G8wN+
4KqjQ0gORLHlqcmrPjV6+9CaKHEyigmSjmWffsyT3D7Z6Kd7lFtxbeUzI0ywzyKhAKWsL2VluBvi
WgQnzzMY7oUdHuvGKPNj3fjMG+eCISYkZFfhbchltYrSBAZRsOy+1tsCG59r0hsyyPhRQv2S2OST
OGkb6JixkRbvXROgdswiLM7gw9cmXviTBc15GSD3PZYk0NIgjlUi2EXJLHZZTIJGy/T/drJ72NA2
CdisEky2BepTTCBrLLMdeGbbNJZs6sq1nirdTD8yq9W/1J00LzTT7OJ1QIjBAUqd/02IfMoJpL5w
nNiS0XGGhbKw8+PY8iclU/Rug6lgujUCLk2786fkYKOfxqtqQm+Vqc5nzCgsODP3LE5NYTsU3DJn
3ZZuyh8U7YhPdxnhTj3w0dhmqKHcf/uIcQaDZBrUN/jS2VXLkHl0KbB5T5XVPMOe9nvRmeU3al/Q
eDvyf5ZPFvtx6SKCCrWFZPZ0F8yYOCK7xrKNtOfeWSPXoKXGtZQjW1QC5919E1sDL7zJcZDB+OKt
mU3nqbPbD3LM+B+mfmxc2P1LYmcxbXXqefbxYMWPy5UW456j4ibweuqjJoPgATW6dumAuBlKlZgV
4pVYY/pNP1reYHwaci0i5iyz5B3woXVRYAY5i5Goy7puCeUKOsp2yp4fFZ4wP2q0U6Lq+AMxfUPW
PrcyjK5zvXBuINumU8Ua9uzrsXseKlWdwxWJs9SziUYw6moFdAhiv0BJWu9yRIyzyS4NQu09/S79
fnbi4n0VsGMvUjUYUr9WNjC4joKpcddN4gNJi7Z314VyhYFI25eiaix/5Sy2MSdQBL/Kt5aUKa5m
emxXkes+AMVPa2PxncXzNSaJ676absn8pxKc+UNvF4955CLvOuDs7pXRdjcY1G9D6omgkcIDvQvf
bVxvpKaSIoOBPjfkeWzw5PfhvsUjFyC2bDAY4VRTBrrSt/FawmiXE8EwymTX8h7DZWEW3Z7iL+ds
4caDakf66XmGJ8qq50hMe0Lm1jrKpmtSqzb03m4a/H2mMvoJZfkToxHvkGRp+B6ULdApknjlMirZ
TmVC3kNZodQoI2G7eAo13IV5QG8zbsNK2Q4rZUCMlRWRuDbSYHAn1rgUc9yKpGaAI/WdeWMoK6OG
p5H2lq+4vDOsNdgdsTXQ/KsskJoyQyJo44s0aqNHyXGK952yTfbKQJkhXzPSIWBLmStLXJZ53JWM
JJK9qQyYtj3zA0eYMseqY8qqjJqJIz44ODbItaguEmXmhBE0D4MyeOrQTFuEGWJXcX+WygaqFcVD
pYyhIyGZl5Myi9bKNhpPDspLjxNTZNWaMJ5VJ6bv5lSeS2U6jZT91BowokoHz6TAm9qKJn6aFrtq
zB48MrGw6iRdrHxla2Xla+FzmGeeB8r2GsTKAQuNZK1ntArPf1/hkQ0nzLJgzNM1gBkOWnNx0+at
wRSBKH98F72RXxb4blNlwOWyqre6MuUSQ2Zth8Wpm5E8eUjypNxYjQYuL7D0NoSGbYHcL6YMvsws
y6dOGYArlyYXsKbPujIH68om7BkYhtErvtIw+1CF5l5XluJBmYvpSe1XKA4Jqb9Yj2s8yGSD0B/F
bbiKlUGZJoQGYsXctGzMLwflYmaR4D7DAvRnSgLFh0S5nektw/jcKA/0sNihewOD7Joi+w+x7JIV
5q/sW6Pc021dp2BhGT6WoPE3Ra/1O97pwy5p+LdBZm4n5ceWyplNDeiI5lGxsjJB2tD33OuyL4fH
nB6Wx0HZv5VOuLaVJRzj1byh5BzWKFs846Gyj/uLk5xIpOCyX/zlzeI1JxLLuTaUAR09DS96i7DP
7FK7cQSTwsQ0RgSUAm+ar2ztPVmil9KuUelEDqBJG2dprKx54DWI0fe6cHHNWMo47ysLvf9ipsdW
PywO+3lx27derl23gWtfsFJI9kIvqm00pv46HewCxZoQgDwzjBuhwgGGOhoOZSirTw4FXYTTESIQ
zIovlENDZj2VurqcLxIVOpCp+AFdBRGUgkiCQoUTlCqmIF4CC1R0ga9CDCYr/SJVrEGjAg6SJepA
hR6kS/yBCkLoVCQCa4arsaCXQiOZwAicdUpyQrxkKMQUHxCCWdXrWUUsRCpsIUNEW0O2WHjS5ytm
yNO+VuEMhoppsNOmv51VdEOiQhwKBKibSQU7VLHyMpuJ9mC23jV8VfNtUBvOypnanaeyITqVEkH+
LaBmHUUbtmzc4kuaBLESvEGLG+oZOtqRumnV6IP90SxHhNAx2DTm/H5yTMlAm6yK1nVJrcjF3hmi
Zp0KRJu+CL6R2rc3VdZFj9697VX+xUhf0THqycRAQPYvhsq/jILqbPm2vZG+G1/QCjSe/NilHWYT
U88ito45k0nD01WcZEe7b7+NSxXMvcciFwd3xDBXG25hxeXxhRWlBycNshcECt9LXlg+uYB9pOsA
+dksVRL8CAr+Q/7pKbNQSKD9wgfy3gYWzBZwsFkgwvCFKCTzBLyQt+GnEeBQ0yEPs4VBtLrhPe68
eSsUoQjIW+zi3rauWvDFajaj7YzpO/IwqMWKcQyZ9WxSz45vKkVAQp5QE6moSNGI9mpQpGQEMlkH
k7EdFEXp9vCUUpGV1gJZ2oiNnuIuB0VgBorFJEnV3EzgmcQEqA6XLn4aFLsZLRgnUbzHTIPsDGK6
QBIGtowso3HtKwK0VCzoiC1mrzPkojVjXNkAo7MiRyGgn6WhUl6qrL52BJGPhfU1pKh0Q2Wkd5wW
CDVegNRgqtsvujW0z6SxMydQ5KrhNkQ9Kpq1jr33et95+qpiLQPs2rfJBTY0ENhZzS2tqNbumHXP
n9JaT6+aMPvKBpTei8KoQGmHdrZPUw6vHAHaVoq4xYqUPcsFwx1oxtgRjNnvakXpsnxxsPyY47n1
vZmJqjibiuo1F8BXKNZXt7xqIxX/OyoS2FFMMKHB+eW8gMLV1KY3SV6RZEI0U/glrxqgYl/xxZkI
eRXoC3bM1rBgHZB67rO7gMl9YItzpGjlFrr1YVYE87zAzP0CNmNpA3Lu9CG/z1n0b20xuyechcUO
8WfcumK+iCY/J9yaTRZzj+Q6CrrhQZAnv3EqDJtwi8Sd1KTzAG1w8BvG3+NNXLhkAROf1d5jIKix
97RFlc9mgeAftfj86Z/BIYkvrIWjqZr+e4hD7CDNNjrUFSP7Ucu/JSO2FJzOku1jc5nUOB3LoHbx
ten9bRC25dmMvXmTICQxWcabagcFcUf0A25iz/WPfLAPbPz8jSRzZ6fFmXuRgqjW/9VK/yPVx6AP
5Ldi6VX0lbaDp/xHsfSvf/S37GO8s9A2yQEEyFrC3/4l+3hwimQZUaPCHoWJ/o90o/tOuMBQCDSm
AzWmBPK/6UbxTqk2jElBpl5wyX9AN4o38wdSUZQjhCpwlWXy8/yhGjW8g2kjTjn9UQxX+iCLxkPN
Bpa2Hj13shXgVVZcxip56kNEEw5BYVOIia/xAK5kRCO22MCpmJAiNsztRNqUlVrxKVD9FCtIAfb3
Vd7Uzf4Hfe0XoJuajPwwoQFs4wO7nFrWxDb5eOq//4Fzc5uOEWA91ydGVGzeQmrHbLU5n3qpXw8A
KunLXfBvR0ImEtvbQ6LgAaqBorqO8tC8PqQWpbQsdUVwchzvsmilFq8hktUk2bJ48a0UeXSAzygf
SOzyqnHdWXjDDww5caxjiRbFhS8jduRzLzkrOPS6eW/wFLp1c4ZNWypzx9sQS+19avD82RNkzkgE
B329DaKcwSymTCa4VV2RzsMCjW1kMOSca82B7khhRzcGBoinNi/VSL9ylUAR+n2wrVl2ZpuXacvg
aGwr0bXAuLO26TqQam26mhTiWQuTi4CYf/upNuHRJ0sDPZjbUsAcFMyBZBBNBChEnkq2U58cvzjD
9SoMjHshyMpZRcsIp6nj6oGpIliVM/AxRiNyRzKYDLitntUjAaRGFd6MYcb8Z4FMphkfzIe6skOe
iZVmgK7HoWhORkH8xvVMrIS2c+TklJ8NswNIauuG6y9oFP1lqEX7XOfGvUaj9/ipdMUIXWm0ahTf
UBaFaZLC2wusNWBafZ3wj6hM5tAphZrBinwpPp0Rg4KuxwWVhICJw1ufRZNDxEFOVqo1LCW+iFJP
8RD4H7sJiesv1os6r2xTRc5dSMoSymGD+rKNKAclbZ6Gt+ZzOOTk1eK0yrIt5xHB345MTkukpeh7
o91WLO2YBxO6RP2MOLEkTknvUD+JVASOR4Ysvx/cxAlvKBxblLYaXnYoqKswGOY7ktCQcOORmxeK
UrgbzJii3WIv4yZMPYX31g56KPsSOrJUlsQmxZsVo3yO073TGi1xIN4oMZz6DIRnuyuegri1ryaC
Kz5q0P7XQ1+mt2ysgidjwNDLWthy1zhb5ZPq2PtEXjGNlmLmkoXAGW/7oYfoC+OBM56lfgI4Qc/r
uKUK2vuIoNq0d0Y0o7rZveSy6WvJ5TVEmVPf6C0dFLvGDrScUKGuMgVqKzPA2dzEXJHG1yEb+e0i
Ou+G71M8dcwJS3LEvpesk89RhkgWkwcbrYuAa6QxcoCHsMAMgd2VnydNtMqhyGzgt8XuARU6y6J8
4Mxwc8k456ZMygKPOTx22XxecEfcxdwIGr7nkfiEUoV0gCScbLb8JbPoBsGuj1EmiVgZby3Trg5d
OE/jpZnTI7WSRcdRHGKFkdy427ztCzDI3hJ2orPr4pSHiVHfJ/OsaR81miGry9aotfp2Gj0+STqZ
PH5ncnG9D5GlZ8nZ72O6uzOtZivYQ2bNvcUDYp4UywxQzbkc9YHBuecFnAjCKuqDn7oMeCETuHvK
SsKtLBcylaz8cIUCahnwq5uirS3+yjgo9Cy3CuM+6sgyXLvCDZ3PY+p2xk3sezwo3ABl9KtUtHpI
5yA9yLAZ7G6SICaT3A/q+BHQixo4FvpB+2zSIZt8qnlCCILb/dmubxg05467Gqn8pH4Hv1u9NRLB
X9K5nI5NJfnNWwofr+OW1fEnl8re5Jstc4MMLgrOWHaxVGJzCejKjcvmLA6cCz833MxAeWb4TOCB
SbSgTTUBBpYo0B/p6kXyiAL3mr5L77Pdd/66mMV72QcjeFpWdB+mYtLwyjfhhgtDMTdBeGGmnr8h
lI3Q4AymDNZITPYmlJl90ChgHi4LK6606FMA7NbsiPZ0yJYoSrW0pL7jogS0/9iwvV6bmU7BL2b2
NkdLIjSBSqdwGN2DSIzgS4qY8G0MTBK86Oa+aUF8uqGupm2S1uMdOnrwaJt9vs14SW0KBIwztZf5
owAU2Bm5HhDUTgrJSm9lfQtym6xlSdUkTFSSXkVlkH4wYnKqPL1pd4xfsOv047hW5WRbzOhIuOmc
XdpW3207zI53PNbLx9jrwve9ld4OUh+JEUN73FVTRaFtXOR0HRTRe0xy6Ychs5pgV7d5fokLXmwI
lJiPqeYlO3h8Sg8qtifs+ImpiXqzuOelU37O7awMGXA0+c6N9OITPLc6tQRR0rbJVHPtyG68BqA1
aVLoAUV82XyPallv0s4iwQ7ecse2zLgGOZPWJtTtnPLvieXApkGlw22fFXs3xTq5jtEDLiTRYDt2
DHexX5R7nVSwTc13/BwndcnoxOgdeGdf9Nspk9111Vr+e4+ilb1GsfXO1jxnrcUalPiEVH2thW11
4oE9HfQ8ny4GTXgXMzwuO9y6JmuWQN2qm0B488a576N+ftbh806e682nOq+9v1xI/3aF8tNizpLS
5P8EDyOPFKk3o++qyEw3Tkuf6QDRIrTBpGt9wGTPwKumRkZHC6UosD78fiH2BpVhISYZ3DOQhP42
JJaD16siy58pARqgrKqUp2hkRTwYytZgjfH747xx4izHAcfB1MBq72W2+uOCr8cA2TUEpRwtyEqe
qXrNMzsfgV1HnwfGPz8YfAymZRbIuHHenErBPYzVz/GO9B9526JgGNbgKyANkJqw3x/q54Us01lm
EazF9V80YFWBJ0tt1J2j6WD4yeGh9sju6bpx6ehuZPEntOkXx1Px1ILLRMcG/tb1Q2w7t22a2ccF
B355BeUhDPbazhuFLEcTp/f331GdrteLdb6cC5thKPv5T4v1KQus1qtb60hmiN5DoKm5FA9U3sA5
JStUfOEBN9GuyU6n2T3m9fH7D/DzRbr4jcgNwPNj4Mh5fZGSOEUoTZqAWXa4yIdBI8SZTpd/VExj
c4lyFIYanoPrB1vVm6sm9Q2K5RmWHYM2BIYlQZtMGrjZf/5d2FDiiHOAcJjYvv4uTmsifFP3ffQo
Tts4ESMMYyz/D5cJyXYm2QfsdthuvjljCaXEURkV9tHwocqjOuSiYDQNcT75LQ6xcuznP2zpfn5+
8UznacLXIuONw77+YohJ/jSkjnXUCt/5LDo3OM46dcArJgDU7bpqVOI0M5fI70/oz08WaCXPVBye
Cbb09qtiWIj0ubSNY6IqW3101FOrkMI5hnf9/aF+8RW5OOA8WIMrmMN4/RVlOtQcKjOOizl2ymD8
ZgXspxYXDO4RdzOqq+b3B/3V93O4NlUkINkY5puD9npErA1k1jF1GJXlGd4+cpjCPZ6wP97pC7v3
+lbH5yZty7JI51AGzdffsAjd2tV5nhznuvFcEskzwrFtqadnRMj6mgIdhmT+xDIZHJldBWuthslk
P/oo843F5qIAJg+ACETYAKHTuQz67SYOkunvT8vPD0IauUzVxmIa9P69bX/JI3sgmByA1SAQ3lxH
fkTsgYpXXvWxxaUWeyzrf39I8fNziLE5dxWvZ8+ld+KNahGk6CU+77ij5mqsdUmSYv9AlHX77NbE
mi0eFq73GK8JkET10PfKpGZG3niuGgNevqIGqNqxSiL3eBLg5b//gL86J8oWqqBUfru3pUc6xva5
d7nrF+dcrNsx6fGEtzepitMbKv1PMs5P16YyYnI3IOVwiQJBvb5cqqhRi/5pPvaWbz01RC7EkDU5
l+moEPrff7tfHUxRtjoCDY+at9emSx+WjlI9HUcQjts4T7xLvXHZ5dh6yS7p9wf76afmm0HZUgnB
9IbH2Zu7DtJalI2vT0cYaTaWFIFxZXEjskv8/YEMFaPy6pZzeFyqxYPNl1OW3tfnMDXDaHSg7FlB
1MwpdPZw3ZpguTb5gJVgbk5lrEwJVoDfPhzCbGRHIk08KzTSXYxFNZ5DskJSChHZLK0bWqAeZon9
Qcda/+Chepk7HU6H7XmVsDkeaLy6bfPCY0j++2/y8+8DOerhBldwKTk/b+6OKCcoQmZNcyTWyt0M
xH+dsiGM9v/cl0vbqE2flkMfBoKt/Mn73Aa60fZMro+17uBrMmK+f0XRwVYzFOaTj3/UD9Xb64df
yeK1pphUwlldQRHH218pn2moq2rbOjrVaH1zHKM/1pbvfVwEEUfSrUMwTGp/KMbR+MOTjmzPtwfn
9jJhvTkyWCzvgNeXiJUyO6LqPD4KCnhIWYBWcZJmP9GzZFJqPvruF0ZNibVhnCkaIu/wKeZ4HKKD
0TIDWhlGPJ31xfUxk6dGC2JNUc3KIj6X0QSOgos6c5p43/H3b2U7aTl/ibhl8pMCaA2RuGZxZ4NP
fKSvgNedxstgT66rKI99PZXNynAwtdrDiDTW+Am6X4JwRMBg1ZOw6QaDQSmsrtw5Ol6KuwG14bp2
Wm0/WpFzW0xCm/eFzBnI920+49eoDBAJHUMCPkC781ahVZeXbULkE5hMOQ+bYqro7M3n6Di4kVhb
fWqDGHaC5BmwrSqyW7RvvR+KJ3OOaTBZpSJGPOpKkYrnoXYTRHEt5n7xxlKJoaQJhrf9RHE8nqVq
Li6wzCJ6ezWM/+HFk5tXM//tzFDpZfHZJz7Ki5eqdU1Vcq+FOaab76jlEI+JCGo27hNhIgleOG08
lyNx8BgwILgvk6Dq27vGbJB1jVIqZF9kZUIHgs77ou5aUeFOwXea6IZ7GcCqJGdZiuZ5bHS+xWDG
9vzNdPLOuqorgUTHsJafeYR+rHZ8dcy/YCjz+xKi1dsmRmxd9pzNHkWjQ5uLkpbKRaecODw6CMpV
i53Z2bsZA+otIVP8RdodfPFlHsz8ohrjTns/4o2bsV0rU5Sn5xYSTpiauNMpzLLbs8C005APkyC8
sl8tathNOeATwTJz0fdwncmma/GLzmWOq8sxeITbc8AVhKmUjYQhh0heWr0vhotw1PCItKMAxHsx
ObtlRxTsmLKHpdrGQ2UMOn2s6RNU9i84bi6wPHQdAnkjeLaXdQCaPVffHNA1fQidAt1MONKcTj5C
CEmN81SM37129m8Xn/OLBGenHR/GpNTu3ooN+ynyQ1rLGmbl5eHltnIMni26umcGiYfvKV/8aYM9
iXtBLn90QO1Fmzdai8d47dhcRZXrsDMLU5vzajRKMzdj1bIX0TG/GyN0+JfRjIAp9G1TLSQCi7Wd
W0jrKROxUmJr5PnVEqI1Ch0Ffnn9SadDZAzRruSlLZlHrBI6NuJd4SZ6c8q8gNs0KzUFrE0WJ9by
e8skpxbe8I7GAT6I0NFOdiXz6XM+i2p87EZpAvOk0k6Ss1t4Y3dlj6m4d+IYzKur/Wj6RpYGl2zs
VoZ1NwlMR5twYm1scv8NYLhk99hhWKxC5AquFYJoIepCqzXlJxbmCS4ru26L0lylUV9qMfWzcxat
eYTb8TGtG9T6KUWU3KGgzS6SRGwxjNf1EakNhbxVhti5o9Du5Y3/X0/JHzwlvFhUzMS/p+M/Rc1X
tMjo1aD0r3/196DUeecqWwj7Zvh2hp+8+//i4z3jHSYp/PrsChGbiFr/Vx6gJd8RK4b/B5FG1ZGa
fIy/B6VMXknWI5+dYi1dZQ3+E2BerTz+9+WNm4WYJpYkBgstFgyLh+ZH8ckQeph0duicllt4CQ+x
BatUAkm5lZZZ1A8n6PblT/+Y4/GrAyJ24QvglU01+ps1He9LpgxlZp+Ymbkb0bPepwaChAlMiQfA
UPGHTvLXS6+XL8iGlPOFdOi6b9fh5OrOjYe8d5JF6Dyx9QF4jmNx36hR8O+/2uuF0HIofmp+awQM
XTLFfb0WqVmCBl0irBMwEc9HySDDbmfmBo4RICzMJL/IBEr0P7Db/eJbciXZXA10XhIIq876D0Nj
1q/9pMPnnBreaBe5C1hG8kBOykgf/HG3IV4vupYvyhUokBSotnfYCrw+2kiSbkb5kHUaCocDyVJZ
94dYZ6vRtxLNMjfBqo7ZOPLAnoC9m88EbPDEG1O837qRe39QH37++kw8VIgR3J7DyveNwBKLEN4/
8K3TS7qGh8SzZ1HFf/zfjsXK2jZZIShd+M3GjoZ5LNvTZJ3MhvFQx97+WbYZwSGxUf4h80adx9c3
J417eGpsZATUm7c7rQi1W3OKzjqRnPy9MQgV6chB+8N27lfnjocQdjEOxlPqzY9JO7MlWyOF0koa
pvJuz8bdpXRtLeaEF+vvbxGhzs7br2Qa5I+yN+YUvtX4XN8UIFvCPMW0VLLG6jmm8DVWFrzfygeX
8JonoFRuUiUNTGFrXgTwThd/+Bg/X8EOEgkygLpVSYp6c8H4BnVNvsoyHN3WOGLnEPRE+J57WWoN
V2jlMc9OGFw6q2nuVLyKunntEm/CfyCe/OoXsCxauPHh2RJ1/vXtRJanM2ZJyc2rAmJ0XadEU20R
rbL+kyb/q0OxWyKYjM0aQPibvTtqal3UsjJPEUPx88sMVUtHHvUumXd/UI1fP+qVamyRfCRVjA+H
++nyLcO2oLKtJO6fDcu8QhcqH3JKzR/mgayEHsPQn0YpbxpK1SHpIKGRAh1E/cBvN9plQuAF0bve
UVfiruXm7H4BQsYzsAYT9Ib1O7DGDI3ixox/A26pbGQcITW19HYjh4YwJdIsTxBCVNjATTPjfCoK
NRU3IHDX/P5StN90saMLE/eLsIjojaBCXcWbnz93x9jCUmShRekZRajhvIOn13aBaJKOrVo2jQGR
FXFdMM+Ny8nZCv7YXY2ZOttikeIz+pnPs9e3mUXDCbbPI/njZESGs9o+gCuFG72GMWdaPLB4FoGH
Qyd0QWuUboo01T4vaoGEI6g3DZu/i8GAc2l7WZzcwKKBMuYELjUgtxhyEPgYa3gf2RuBChEEVYmD
aGz+NNk0NcEUHolblB9EtJMEXWQ6+zSvOIYa/Cwlm1XlgtNaPSFGK/ovxXUTFqpSxBKkt1BLNO81
ctKc4wKGYGbLiLmoBduUJdgsiREQZZkb5ZHC+ulMDvN4S1kKi/MZg3X0KCaPn4wRu6PytN3B/7iM
8PI2cZ6SyOBqX3YwEyGVz40o1RsaPfIpI0Hza0ld7aGvZHVmG54xsZKEQkaBRXEoKcMw7Z7NC1VM
QsDkVNyki+vHT+hzGS3OqI/LarIMMDPTbJ6Jl3A3WgH0084G5wfmQZ6bBqIYZ1jzXHoqrylziHES
Y908J1lgMAoAsd7ODd0Va1fFNnXlxP9K8yd4mQU7y2K2VAu8ZHUwOS9v1Jw39a5kXs3eOgvr+IBD
iyzRSUqubCt0qFbB/D7LY6gWJlos/0qG0mOD3TRVojj3dE1xKxR3XVcRDQybxNRhkZyEsznFcdmu
cSpRhtDrPmEjpXpeQtBUhFVZPRKuQQFbtcbsmWTbJbzEKULuv4IA1IC8cheYQstUYomdsW/DpMnW
T06WEooTn62jyE2u5T7WvI/kavJn3RaX1qjhPCuFYr7aVrI7n5a9LkXvaBQ4/GbS8NM5UFnE9hOV
nmRwqSbPVbMMotl81u8DczYOMxqF3MDHW4953+f37hxNVzSkppsKbFqs2GUJdydojDlGadFfBOnE
2qZJwQjoxyvwozW+c5+mczSsdBzOyUra8XTNcFA/ZVZYkOWQUEAd2Q0lCrZmrad8nu5Bxu1tV9Bv
dkz0CbsU1ySOar3J79qyIfUFZ3X2rWDb9921EFeYvnXX3kIITGNMo1aX8GRaA/NkW3IMidxoFV7g
0KXZQBJNztdxlmJDigmelAZed8fgSw50u1ATIhaOocDw4FEdSSvu3ISPgXJmSKIZIOMAACqwgJOY
WlntXXCPB3Jv2t1E0tOjEwy4lawsADzA9fmYp1WyhVicUVJ7fkbXt6liTIb8MS5j2W7yXskcOl5Q
tRhtVnJE2cd4lmnbijWgqrfE9+kaGFxCvAF4ffxzh7GKCPyqvIhReHeT3U3f/KAYtqEWaXcTSuzn
KOmtNWVt7Yq2QJpgyatayaR+ki2NqaQKaRvfyMJ119dYFQFS4trVrq0x1Hn8Q9kXq6Q2Q5BngiGK
FmDdIx1jBTNG+IT65cvhkpWueyARFOyFUd2wshYYxlJcjKUIGVexMqmiZkin0baGImnKxKmIJMub
XWcTz89c6Gsqm+KzlxK4F3li3DWab27I+df3nt9md7yVAHVQscJLx6qU71TnF5WBEV8CjlHQ0Xbl
LYFzXNQa6m77tEwjNSPmlmgUqrUtgA/ik7NAAQDp0Ag8bdvnoFahf4XKxJ3QyCgFaXuik8BLgq3b
jba+TaJwpF2gYCy2yqSPVmXYWvHgC4s82bHS1ktWUdt4vI/dziZsLFWxtS/6ki7GstknUcsjaIk3
WoLitJF9FOFsLOEc7IT3fanCc7sQPswaqeo42CIpH0ogfD6aRHsl5SdPaZWoAtZzJPjAwhQqhoxZ
GNVydkxG1fepJGu56SX+q1S2uNowT34joKgK1nai2Z88x/cu6tBrDmkxUYebj0HUKfky/NL07VNc
2ubWtqIgWOOjqZrP6ayhzlEUXJgHWinc656e6LWTRsk2HIbqEGvOvJvcvPwwU4UCPCSt4UNv19nZ
CcrvRjp/HvEE3yQtPVw8V9U42sP/ZXWl8cwgPHieo2h4j6eSX447Pt5WjB29lRVQF73qGT2Qe5A2
8kizJHnC45CWGVV5PMfXSdcEw6H1Rv1kVcV0BTRonh1KO2kSyZJOrBx+hXjNYgekMO9HupxFm16N
dW3d0Hyc3lSAHOcscisqqUTz1eq1dFtAkn0pPKdnyFvOxsr2DWwaZEiS7krlBznL1KGtsirlceFh
I4eqt47T0H/xS214j8UjuROkT13RL2w/JoOTBOsalzLvylxArk5mcO1ZU0RpCqXWJLB7JFL2QfNk
REN5ygjM3zJ57E7EzmhwD8TN13imiD7SWMziixGGgewNoTnuwjQ3752kLKk3w/tDzLF/SQHXfNeG
ZMd7fTA8dCnVL1u9aazoiLQ1kqlfMLZZuf7gJtcODGC598KuObDL1S5jcqM+UBFmeGst6bJ8ZWhS
Tw4dF8/1wBv+u+ir5qory34/8iI85XGTUesEQ9ysCsH2AoG62tPNIkAKWVloGOFkfxeA9BIaGPsE
VjU88h6SsaVvbUrtS6xKPEZNfSIfGhdKPmyMrAa4S/PCuGpxg9iE+Vc4udxUWjwQxfCtMJzO33lo
6LugxJxrWZWxNVNnPjSdjM6on9WHTkzNRxdJcgv2l6xnwNdVArBNi2MYEvM8x3JjloOM1gI86VnP
Wt5DrT71a0K7o3Rjcapu+5l9Sp4y6lrbhR/dGLocP+j1oF3ZUWsGyhZp7lzNrLH0kXW4q5gk4FJG
PW72Hdfudz8NFWtstl8hq+Xz4JAmstNLMKV1kwob5KxIJa2yzD6+U5lcRRi66R07yLb8bodjcIt6
b/KWi5r2aA4jgmdR0OJKCj6tURYTODLk8vpGo/xya+CdbDdewJo9ACwFvgsLSex1Z7XuKekwXWqW
7D+HzkQ4ogzm+EanYY8o9TJPb3IvxcaaG6N2F2omv1qKgGQdsnJIx45EwGr0rZcd7H+10D9ooYbF
iO+Hrc3mqX36K2Pk+in79v//300YvQrX+esf/C2D6u/UCFRN3iUDSrb+/5JBXRpTgLaEzdYNXIFJ
7//KoOKdJ20gBhNdh/+nxnt/p+u476j7YDZsATnwz1ES/olf5PXGmE0YUT3Kb6FCtyEm3kpa/qDx
Wspt+4JArNLfGPGcnEOFHAKE0Nk72c0nD8/XjhXYvBPMFQHoWobIjT5+QGcrHywnbj7pRF9+CojU
2v5wJn8hmr5WFpdPx30AH7gYQtDUXisEXufWTH886yLureLJDnlxU2iXX+b2yLK4itJpT89bv25K
Wun/INkw03+l2ShKyrRhbNCndekykn8rloRGyr0fVbS8+f/D3pltx41cWfSLUAszEK9AziSTTJKi
SL1gUZSEOTCPX987UlVul9xd1e5nL3tVyZaoHABE3Lj3nH1eIeZb+E6HVNzloq3cjVs73i2NagkG
YXG9m9kW6Scja9Mv8yrXb97QNeOmXhfrFBdxt4XXUOxRPg8kHTeVe/HY+TGVDR4pFTAIbo3agt2v
13awsp6i/C+FGmJ25X1iwmAJPciRoe43rCST4XmbYVjxEvvQAZvAwrjB+cE132JVn1fQNoO18zne
A7/cQvEYHpGsyh0gJKny5y0fowkQyoSsiiQjmdnWP2ucqyEfe8/DvLZFaK8NxzbPreW5tamotETD
wthW1nhYtDIKc221AqyYmFpXD1pSEEcuqcREeJDZNy+vBN4ylCFL3bjFxRNt3HbpP3Mi9ZBq68Wk
BzrukDHgArjKXrvspqRwCSI101CzTYINmS00jwI/+QVYaWpsMgw5b0Wlg5+RSEU3kJPEdhqsNt2N
IM2XIOVRAjPuxzO5NI0L2NlO+meDM8hW9t40HJHpFvEGRmj/OKeDn4SGNXVsza6h40jMVX5C1OeQ
Cx23NjTUFat1I+eWrlQcp+ZEWLOAstKuNpc10+yDg05dCwqbQN/JcV69bPHJK3PlQy5byuC4MVus
AJgKbTzOYLj12djhQml3bT85D0thavvV9AHRJibOcj3dkbVHaDBV+RGAfvm4AkSG9VsN2WnN/Gzj
O733DjO4Pqylvm5FUfdIEgm/3FGoxZz7M3NxAehw/IWVINUxMjMILfHnk/AN8LSZORz8KZkIp/Gc
5Ls96eO9URmzE6TSK7/T84XgC2zTChonlSUslLghm2dcHStwvdbNNjx7T6BtYfYOeTpQHWQRh/gn
o8VkVgeNJys2ZCuicM3mSBJlUvf5N5klEVyKvs32pl5N34iTKw0wtaRp4pyV9ajfdY1o03c28oKZ
qqQ9ct/h/T6tw6qUbVY2viqqNl4wx6zeV3CHQxgxPGl5Khqt/5DRkJGgjoMhCd2+stNtP7RS25Kw
vtxBiZZL2Oleb2yHUVvTp8WqluWwjI1S1ZDaEQWVbMuYKTvc6C8ARdoiIA7NkcrIJNswnnICgojf
ZSsgcZx5R1pvGt2q3ruK0b+hCqMAxW91XFAyP9JDV4thwufHVS/vIVV4Z3NAi4KxSfBqrfpsSxI5
TwSzGtO2gW5E7vhod5/71M3soMWFp23n2FsPTTWvB6bC9RtnIZikoymI+nTGetwkEw/ytiPhUINt
PA9f9ayljCVVydHPIppQXjBxqt5bkE7OptaKFfgyS7ngkydUt4O57TPVXsihEykP+vpSdJiYqjCf
LJri+zlisE20qm0by7szDBjhTv6Y6vyLel8Qn0qrICZNqzLWaXyF0VGkxFpTmb4T8Vty67RolaoW
gkFDMQrsEiWmtpuGnjAlJOw1Y3CzuF8kVJzArVKTEx8RMJchjc17G7dHG6SRX9y3TtGUoYzdytn4
yzgicaJzH+hjn5S3OGY8/MO8A+7dsmYIRBDDeLabVrFTLCcaNpgVvS8ateoCKqIlb7eIV2lAsHIX
PRgS0kaDpPGmt8rQKnwv0HQ2PgwX6jzdPsZ0d7b51FVfcZZ/wtDtHkchMmcPkXm6DLSdio1GBT3u
/cQndcbwyYYKzEpEoe1k0c4Y9PwuscaIzGBtkbckn7fPZj7MisAzOB8E4LmKNmUku2rKt5lZaTia
QKTe2rDRb6JkTG6xD7UdZFG/OM4w4JytP7fGjaUV/VGYJtwmbiDtOWefQbtjiWWDMxssJyBXz4Q5
33V+MFQofnDNeXLZy8ki0dYY3azdsI5zyowdezdHqo9ZWt3n6x7+n8LxbwpHBljKcPq/D9GP8lv6
Lt//2Wv8+8/8UTvav3nCoa+POFV5eqnd/iDM+YzJGey6FkJuRusmv/XfYEYPZzKpetSbKnGHudYf
paP3m5qyqB9jr7viHP+N0hH976/1EZYo3oUqT9F6/sswaTC7JF1R5hwja503VlMU79zxYEeGVDfJ
fAYYMwZLt9A4A9eNAio2DXKu2vJudSN7Dg1D5ttIT0eKJaO8X4l5+yL0bKmCWNDODvipcjNXUQ8j
YpVfSocDK/g7875NOZopEK91Bz/MX8M8K8EcdIISInX9Jw9D6GM7D+O9Pr6XVcvz3SX5Sz8CNsD0
qiRHYyFxBer1/N4VTDGDFPcSoxorBt02C2nNFFVenG9rt8m/JlrO8dFij+ARMttoW5lLCuCnmRlB
FGK4Uyg6azeAsrE3Tsu0ZltUvmeFrSUyOqxA7vcNzb8kANie3Frg0PwtKcUpxDVZuBbVFLa7uqsx
wPT6eh66RScPtegIQeumD78c5ZvdpxxARz9ebtIpby5LnWHcTGibk49d0d4YYHSV5LMNpg6rgAbA
6szVg2MtFYg5f25a2uOTtycYKj/7FhlzBKFS15MNvHT4qKiQ8HXngPglybE0C5CFpt6D0aAiCDKr
/Jg5AgfWXPoPKDHrY9Rn/ZO1AHlJu67b2tNiHaIVMV0gtVyenJ6mMyGLw40/TwQOr53RnBQ+G+5D
7AgO407j3fp6acqw1ZbixSrr4WmwcwDLaIaQTNM7eE29PHrttXo+1hN4ZOLKtNtpZSHrJS2eCvCQ
kjqut6jGhs8FSVxN6IiyvZ2itrlJfH/8gVxvzYJ46bV80yHKvx9tWWxrNIHZRk6iIRbb8Ma7QmNF
DTB25++Nou/FIJKdfZyWSGLNbOq+ZFlREAxHZUloeGPFD9IX0jgwAk4fkzq3PpsY7S9idXg1lLDt
kwEOhVyHxL4x8CHrwOwqYh+snni8pao3iFWbw0T0+WOclEXoltn8psm4PRGAK75P7eS1O1fHZkPD
ED3jdmoa8ahEHVPIXKjSXgnScB8SO6XeH31Ii4HA0fZh0/MT7Gkgl2J9LTfC6Y2wKQ35zHXMYSl1
yYM3Z91dZyzJyWvNEQp6NTW3SSTtjeYucbnhdq2efQtMNZn2FRCfht83qti+o7Ycqm1SlfU5k17F
Zj+VPOWvszQyyoDiZ1GQz6ZPiSB+VgqVNOIemZYYl8x97JCP6QVpKFftlgmOcIUGQ1s0Glfa4nTl
rOWUOElGXIL7YPhZvqltbw0tK8XzbbfiaS54erbdPBRvZJItgVFEjDK8wRZdmNcmqcZl5zwNgzMA
W8cyHfbYSsNEpvrZrsv5tncgjtlN5gRd1cEKy5nRiGjMtz4u9LDleXmMuhlUXgqC7NNMGUUk49Dr
2YOXAgsTG7teB/3JXjv4fwUnJOmcTarQwzS0L3aRTBcNDDopja01Ha12PCFEce8Iem73ZZ8DrZkL
kn+Hcrk0lW8eKVyboPKd+OgvXXGZSHl/pD00h3aeQdC0RLH1ai4kHYSgjBgBGE1yLpkZDmUPxrxP
b8fsVE8pf5OlNbSxomYrUvPNjRJCIjKyxjMT9SsZc0wLO/4aQLXMJ+yXxLbsY9S1VWjwtexIaO3u
4bG/MUCJN8A0McmRWXqXrUZ0QGEyEzOkf5ZGjzs6BniUL8z46LiufIdRr99kKbri0BC5TlZl8mm2
MIVQv7z43uIRzld/gDcoiAExH3VGe5BvipfYau/dKcse+ka+Ai+aA3O58WAn7kq9ehpTqwzK2evD
SV/KQJ/ycWPKYiQBiWn+gSwQIhZcicJ37Ih1WBP3Dod8d2qJ3eyzKN4twh/3JijzjdEtOe5i/F0b
TxAr08YeRwRq6vUtmbvuTjDm2bkE+jGDsmFBDP2tHrcUmNogH/W5qfaq2bq34X2F/UJ+COGnWcT9
w2QZoWl9aZZFPOJKzgliSPvikmvzdO+K9hvaKyj2aWzcrKVotviK/TKsndlQyyxswcDn9nvmOEvS
oeEwlyHxkfyNDl+sGy/nYmZetIxG+4nkB84qjt3BAksvhEAybyQhIWzHsTuXbV6GLYlbT2MRRRfH
pPmHkBsaU6WTP8tlEpFOvrVpJe/FHL0nnd5cEBlPDyYhUDdp29GEJz/yaZgIFuot90Qkn6Q3wa1D
dMhnpyOC2dH4R8KxLmRKBzUu9z6meewefU3ALQCiurOWlSQbXMY/3I50jXVCJLsOtxPzKhVT0dln
1hh61n3qIY9OyuYRGChTSFTeN5ZXWSGNe5rbc5d82EXBsyWqrgu9fHjkJiwIS9eLh4wojMCVrrdN
3bXbGIb+4IFs2zAhao/lalkPhW+JjTYs9b0zGV+csSW+3tDyp1IQYskJ2vzMAZE0eAToBndGQmoD
dYEbGrYnd0tqtkB5GNwT4ZHeQHQWJ6ebFtiC6Xx0e7ZINCPukZGpa2z+Uyf/XyIHafHYNEX/9zr5
8zt1pIz76s9q058/9nupDJTlN4HDCTecT1QgncN/1Mp0NX/zsNMANv/nMhmyOepPOrP8kK0kWf8o
k23nN8d2DIvmKy0PnEz/VvD0nxus+Edh+vxEpCPPV6ToP7cwYc01IDoH91KOkLlCmc7DpWXe6TJc
brov//TF/G2/9Ppi9HNV9S/I4f4XmVPszHbBbNRmKrCgOVKoh0VNRX+OMV0Tkk2Mne1dKNjE/+Ol
LURaKv7P/RcFUqrlBoIiw76s+CfepGiBYvy0l3qDSzSJrwgfDOqZ83bRStfhr1/+z5or9ck9Gu+g
HTnZcOF+FUCZ1AdSQAS4FKWKdfQ1BT9itrzWp7RSL0fh+nfez19MOL+/KLcK5Caed+9XHyZDpGiI
a2Gy5IKqkeQ3Hc3Sxc6HR5HUMZX6Y1+xMIMxIPpP+qH/5ioxXaERlRQ29Dz2tafYGp2miGMrGLd3
TlqMlNEY6MbNWEeKDbMqTmFXG+jgZ0aI1t8oIf98jvv5MVyOl5jIHcxtvyo7/YnSZ/YSkzEoEpRr
XuxcAPLb+SQrP4Oxr25mFVX111fsz8Dy319V8HggkeOFFZjrn6W7UB29bHZa44JAy3iWNOb2bAXJ
D6gznG5UZqRjo5AiO54W6qKSRP769f/1wQQFcLVs6oL75ldJIE0c9Bf5bFzca3SdemAWJciOx+bv
tNgGi8mf1J/cnRbufA8oFyqUf3F4R4vXU/IOxsVW6k6NNnm+G1MD7c9VLTXntv3OJqSeTohCjGIn
HparVCnLgS3/+x/c0m1WSzqR8BB+GaqYtlaJRo/0y9A3PCQ2yojq1uzhrtAHxkH516/2Pz0kHsse
zyX/Yaj1i87WqDM91azRvFw1YXJJ0GFc8/cGlcZYtui2r2pYAEfc5YJ0o3M5CqR/SwaiLDCytfrJ
w4obh0HE1f/U5+rconBVSTKippJLxiPu+IDNTyLRh2L31x/iFxP09Wb1mODZyJIdxm+/OsozRNaD
vwjjAoecIMurm/J631wB20rrA32UJq1c+AKv2VIxcoU07BiGH+prymOa22jFVvhE7cYggQ2DMJyz
v36f/8MqiGWCng92RLBmvypqtdkcRlorxsXBwkesogpboZKp3ww9Mp6JwPq7O1vtoH+6swHdcVez
5+rK1mD8+oplj5BHz5fucpUsXo1mkZid94hWM40gHQ1ba7nIMdEH4hBCdc3BYAJ79JQyQqgDSy5w
hKoRh5bOCoDUAeSIha+V0RcaTPUVdewaLomaKsZMCTMXRpm3VxOZ6fGBGMD/nTaVT/Drx+KTcJ0R
+9smQtVfx6KrnwuvgYx2qTjhh6Je1naTwYe7b6xiATU9EkGpqPZZv0FTVEA5B3SR7EQS09ou+Lv1
cJlrEZqZOW5RK3i7cY21HtNZNxghR+LFQtjoRBg3LUQ4DP8njawmiLob3asqJkrxokKshIe2jNky
T0ZGDOSWLcDl8JXR3bX9Wl4G2Sc3fldmt2bpV+cxi7xmg9WOeEgCA7RXHHc5M56l+NDzDoIPcqaE
Y9a61ry/Mfm2EI7iEgEBXift2b9P2G9K5j/4GNSklePADGgAWQsaO0ZTdLgDAs60+mWQBcGRVuR5
T0I0CUjSLM7dgIZCg9jKiVvg9q5YWuYxpv8VKS60Yk7mfX5Y55XmfQOIvT2aRITRPmQIewujHUFk
PUYnBsLiiU4AhyQPEm170SbLsImbQ/oYIq3j2EN6VF0/eDGqynAWdhJt/AwtaYwA8qXOuUe8RWG6
3Ir434bsv3hLaQCPCggf746Ey/dO2JQJ0me1oQRkIR5hEj3+RKUswIeTTWQhh/G7qIDPjVOUZhUR
5QM7s5EYfh2uctC9+gSsMFvuXKtqbrWZMdsuXqqSJledzv7RjtPkTHRs/8FY1qWtSajZXk9pu8MJ
i8+taTMMFCmYZkA7k66vryAD0pM5+jMTCN/8CuUOaHSKJNQjmXBngiP9UorOea2UmLFx6+QbN8r8
PR6irOcMHMuNPnB5wiTq5b6Na2dT0t6CwxKXOi3MSM6zHywMInAS9t9gqLhoNtO4ftYcP81vRul3
OQh/WYjy2RujShfcAAXS5E3plZj8gn5BnOViyyVGy+TfBul5Th3mdqoZSQB+YXGZnuSGqF+1ZHQt
3m6eSZXWt5T+joxoih8ak49VnnOBpAaaQ49xWbPaa4izfRyU266YQH6XcUT/BU4TPWQFKCmXhYnW
6KkIQ1GxVvzk8SXka+c7Wzb8HYQ3IE1oO66sayjEf0q6bKjrwJImMXF7QfLm0udj/damdnwZPJ8j
/boQGxs5E3PeFMXQllxVViNlZbqGVk8m6IqOyMujO4AP0WzWIc8uEdC3SdMx9EyQD5bofug3NQ5v
jhMHKcOeQgoq6EgObvMGJrr53OiO+kNVIW57fK80uEcvipggC4aPBmj8NIjXGc3gqKThEJP4P1Yv
hy/go6t9b012alJfFQCqTYzsPMiGJQa/HIbga9atV82PeJfY1FMwYA/XNZIazr+NHDZRL0P0jvq4
+wYxga9StIApu25Qc0L1bsthoL9tNYgsKspO2kZOujwwGOOXORSX9l6WeXuIYxKXh5UrMtpUhos5
IYM0yDK/WsqHlOOGVWAyuJLzkh6h6eYadLqYfPdGufCheCR5pTwZiZ2ouBky9auftvE4K+yjnqNK
v4KahBKT1yq6sRFx84bukuqX+Irl8VoorDky3tM18sxUevSsw2XRNrwZepDZNxoPqNhTD5xeRT75
mfG1Bqgy0s9dW+D35jbi2pnq3cqqYePpcMkrzekj1miK8ErxA66KTmxW7Obo5LEARCY2gp/YmhFu
dHUk303pt/kZ7NTVBCWw0UBMhtcChz42fus167/9PPxcA9CWTGC0xhtuo7TQ8oZUV5Qm9h2eYYgO
pWMz57ewMbPt8AZrc6bh52sS2VhdGtHXQksYI8vrI2REDp7zcW5VGcTO02/a6eLbE9HKyvPHCcKn
uON/ilhxR6VN02VTqaMKA/h0byhBP8sAMdNc6TP8Oe/Ix6lurFEDuL0MC0K0pODdjj9BS+y4vbo9
r2p5PUY9HuS2CvbMRpT1tg+98Q7/vEbeRBJxBjRA9NOkS2BAb6Fr8GaYYzPMvHpMeuZLL/OYes9Z
7jfFtm90ckOvMaa0hpz3pESjEMy1anheF4G8gEgNh4lvpchT8koXYJq4lnjgXPXy5YTCPlNPfdEb
0F+Ub+Xq8KTcbw5IeLiqzJn9TcFGzvcwUYJeg66vaNMZNub71a2R60p4jgEGX0Ds8MS3bcc7ud6J
9pyBM4Bsqe4N7ARbo4XmT03bxDDFGZpPKKfVBcoam6XJrKLmULaGeAEjPQsEHavWbVe3pygyfVwg
gUmawBNWIef96tA0NQU1FRnHEEwWxvNkqfhAy2RYELDOkzq9pKJ+Q6vLg96gyYILyH17xebGncsK
hNcp3V8PvOukYTtijvdMGxrjD0u3HkwcaZ8VhfMZBTaXpVdV2oo4h5BCVTFet81l1bmjakUUsfyE
z746tbgFxKgxoDFLxBIDJxkFhG3rkZiPbDLQCrTq7SQuPtM8Bf9SDz3Pq1RZj0UueayQQwG3tlaG
ZYyTfAbXMctRSiRkiDiN1THpaMEHCbf8wA2OLSxJIwgEE3YLxC4Ozh9HDIXzOLcTygw5qZBTrcWt
Yc9qZeFPixc56xxb4QkSHV5p1RZyz1ScytHlpwtmI82ToZsTtwiZC2W4qs0FrL5a+wgm0fZVTPYx
ypQxVkdyu+e8kpQ4eK5fwM+1SB3cR+V7vC6s9JPZca73bhQrOO0V1zfTyv4KHCO6XO9PvP/RntHW
sKfza+d33uBzi/j60B5Itx5PCex3//cbAj6+/6P2xnwMy5YUXi2TYlss8JljQGXP17viJ3w0JyTi
7JJsvjcaCVTTURBavAWIOFwpDdTvjmQlIqgOtTuCpG7fOir9F7MDp6pJwT2RixRha0/83kIh1G5Y
742zgQnvwC1nPGOSrqaNUcQ8WUwX2GGAwlk73PrkpmcVq72VGveOZ66Xn8arn7iafmLRvq6ANmyJ
clNFHl92H2lq++4zviXLm3hs1AYkgyVmlBjWI96QoIpb8MqN5gNoldes4mzoecwspNgWEuJlfvyZ
947uXbwIFZgcg5YlM2cZfe5u0+61TWa3sxG01ELr04gmYz70wyiTe4JS0OlIltEz5l3eheOrqKE4
rbjbdcTFkC8copu2sZaLF9TWKv17Vp/XE9ODPZje0+DP5T1Qlo9Ei0h0JrT6gEBFDzwVeInPLPsR
WySHe2YTBZbLkRr3EB1wa4a4kqU1O9ICSj4k/qsXVCiL+5IrX5OT1qxylTOt814bMhA9ANLGIG6q
Hm3QXB7Tus7uLLszjJBdszxysp8P0qhRNxV1Le+iClmymFWe1pWlgZv+KjYyex88bdfrp0Yt/ieG
IzQiSVGiphrsihMMFoXj1awl6bLBuCyQhT7FGfh/xgo1/2yESn+6GgivNk3fmlhwWrX4NyM1TqlK
uquzLo8JsLmaK4Zm4plR2KErWXeyBI+qSBqoJHqLWjta4QbnZqVcWiggYZVcN5MoYd1enbTKcQep
qNZc1GKbqT3c0LLoJfIVHPJ6MIz1WNYnHII1S17Pmla5sxfd0E9rmQ9V4jYVyM0JjDLO8exgNdP6
7pu5QiJyLULLOINxXaVrsn9ikOBuLWNWqyukeeSVyQ5hiRRZzuKIxZ68F+WQJLqMRf3qAStbtD6b
qKZ9Nc12/ZYXxD1UPete2/AI9WRp79NIy8HfOTs3VivzulbsQJztkoPpJOl3e3TBcjj1wBPXa2Bj
HIw6t8jEVIWBy46sDutY5tK3mdCvunfkwDbjyuB8g/ZzaPcVwO9doZy+nFV65x0QiPEMfYGWnSNY
lejz8JV4eMvoNUUmJ4nSZWNxx8V9TuhYb9YGCZsaSZ3bNVbLwbVkdvTyB0nYc0CXrNR3cV4SEkjk
ibnjlZPnpB3mT3NCDkiCM+JTPcRM13lCWJ057aw7NsTBYzZa6ma42LX2oPzcZGWsQiJ8aK35YMaO
9jHUlvMNGu36vaCq/FEVc/cymVNBcA1J0HQuiBg0KMr2Bc0VrPS6224GHHNJ0DQya7aI45qTY83p
OfXgJcaZm34u6z5+cqnxsZCVxbLJO0ffL76znIVVR58Szcs/qmbhb3KkTtBKqhHv97BKjRNroccT
OKEe02jQitH9aWv/jxLqb5RQJq2hv1RC3SERUf+t6/Sf1VC//9wfaij/N4OuJewBy6F1SbP6HyMe
QYbCdYZj/rcOyuKXf+ie9N+wPqObFSZUVpf+678jmXf9P3fZHIBmDlMWesfIrwQIxl8aqCn5Pw4O
6fxIoPZ6h0po3Wlmx8K5ltyFDmaeQ984RhwA/aeqMJoFcfpYqfQsu1o+rdHQNOxyncl9nrtq0Gks
0JFyhRrnXJpjDlVVW523uJm6LB3WmyjludvKrsY5QxPjTnixfuBdAkVaUMXnZ0T843cvo5MfNilS
/TaxEIpmtuU+wpf3whZP5d6fqM44USL7sYg/8kD0nTh/sXW6cpYkkNloXqNJ1u+WkOsOzG2+kQMV
IMcAdExuYmMXP1CIxAMCl2gdtJM/JwzOFw1U7LcxtmJ3NwlPM1/0MYrTbTnEM88SPWznLdHFQuQV
/ilaVlVvQURBPtLU00PD3D0JvNif4vMqtMTfVTnC0scp1l1AdXmJrDKlgeHvTPxu+kZLOGIfDVv9
ydhIhPc6t3kt9y7nmIB9O2VEvCQtYZhGBxffmPzV8kMjdw083LiOWRIJXZDx13Jd4vvRW6ptpdOt
xcW9IO9B9ey/MtHutS05qPMWbpa3H9yVZLFpxtU7th9O1oxnz+eQGOZ6bB3QcBmXNTWrzUTg72tb
XGiGF/uyLfU7WjrwqAQOitHPwhHr+U1bTrvGbmixAYnnhqnx9fQDNZu2iOgyusv8Ka+d/FVPFty2
BZp6C35/2Ke5851M1eyRpX4OGjE3GxRRYofUOD32NGnfMqfD+Q1qaZN6rTwy1Cf+LSoOpmEU+Dqy
/EK4mJQAe2OP6rnZa8bEuL+Sx1ksz56k2gw0IbqvDvawxzJPPCLjLLRusVtu9Yn0VsCf3baDzh+S
61B8qkZXBg29nz0nB/HhxnnDsD9qswfOj807vQLHCOd6QZG8+AjgkKRrxNy4/NSiS52hQI3SrGnW
F8ssnjOtRrrCySbmOJB/pKZrvLg+D5U9WfaOmHh27Rx5rdtQDyGw+R5Fnf++ziRciRqxA+7DuH9H
dbzNVjZ0I5nsIK+nm9FOnPsiJwXMGld0JW4cVYcWotaRFAGXyskz3uid+2fDkxNwvAlhbZYXR2kv
IqRG6p47YkLurcmpDrlVWjcTB58z+H3USzTZLnVNMTWMdfbayCR744oSBzUP1s1QrcVhkLI+Q2go
Puq4dyMV1ead0tZaHxqnH29LhL0bKnGOd1Hte49L1pewGzXUeVjA0zu88BbKMh2Z8MQjcSjmNtIC
lbB7km5s3Q/+0N2ihUw/w4JTnopl0u/qfEzv+iRvnod8mJ7S1KVXSYDpVptT8VbZS/bSjm5/0zuV
QGo+eNlJX73V3NFhLh8cXUTHep2nfb/qMXBB4e/aZnR+oKdo9jTMl89zZuabWCgXc10eeye6Iz9B
bqKBXjCsAE7FMj6aor5ZHH1BrW8FNX2CbyRFwTrLZXHQY0xv0qlJMDS6cd/iQdjRH5036+w2Xwmf
HG44gaYUNwvtPGlPl6xymnOS+8uhagfrAlt4eR1IePogdH688IVE9zM4u8+rtxjhaE80Iru+31Tl
nB0mImz2tZ25TVAOVf6pTmmvcNl5WrSp2RHrWH+zNLffr36JqnOOdGs7u7NNr6rtHzDfSDMkUJUo
WxPXgt855o/VTISGTyUauJWXaiOgHdRzPt4lUfnAUUaczcqMX02f5391RLObrQVUA9ZQ/Y5kNP1O
9Lk4a1VpXujFD2wUTItuq8oo9qKY7wsyu/AJ86DCuI7tzUqbsAyjqZ+PKSzBU11lRO35LlFWnKDu
hgZ/uWex1MhCMjCDnGY2tvHkLqVjhnqvRWFHaN0HAR4z4wXNx1I/dFl26Jau+ZqjqJkBv5GOlkNM
birzSwa4/Fh0DohaO02fjTbrHmOvx8rQL8QMDLAtOXHlzadODuI8O956N3a19l5Xg86OZkyPBYeq
WI0OvFvJyOfbolUZHmDmeAcpnemkxeW4jzDVn8e+tU5mYarQgKZ5wU7T4Sxeos1iw6uz0jm5sLPR
8xBD9dXvpfdjgVhYBDRROE2K+NuUz9mWkAsRRH29myp/uFnmjjg8g9A/rVJZdQLCzdE38gyMQVeM
73XpGwhqTcJxQnfVAM0ldvMSMVHZVh5+et8p0yh03Cz/IW0gilAwms8+Yj53a1dx+dWKY38vcVre
DUbk34wwVwIEW+0xwVUvhtykT2Oyv9Hf7YtzDzLmHk9Ud5cDHdgOfledaE70d1FPiymzc+c8FR7m
LOS3nyEj0RuqxYjv1Nbo2HfWNFzquPNvV00s33VrKAZQB6myqPAd3xRTrz0nmI/emrRi6cm1ysYG
Rt9ALdq1y7kjItBM96t7L5fWOdUjybJEanHu4+HAxuP4e6+nbcQ9MaUWhm8UZiqmLcRr4b/nMK53
emq920NX3WmxdJ78GCWroc8WAi+B9ZSkvQcInHoYR5I+ptMRH2AZexxi4bjIdEM/y7wbsCThqKgw
Eyeyeqhi0/rk+f24nT2t2DVNpfI/M0nKCT0felXIJfMUBWpl1YQa6t3FI933o09a3K9IEdfNMI3i
yXCyeieZDO30pOUgHWWJHZZabT/kURMx76I/dSli6e1hz1boCa1bP2onpbq19btGN+5628UkxaRq
C7Sy+Y7YAFqDtkziEPWNd2DwV+MA7uAdREv3UK9F/aDExocM/fVhthwZcmLVwmlaxbqPjNb7TC1g
Ps/Ivxfa6Jb3wy+14a1E6LmL8vrVaQpvq2XiYtGSyfh8OrpK6pTuYLLkkcHYZwkQmFY7utLsSGnC
ZBaxaTfrR1q3BMJ2aTSdzGHeOJyfb5bcj7k17Y7M6tx5iKhNAXqwWQ+gnrLd5GOR2VjNSv2B1GA4
W/HQbLqmfZF6W96P02jXnM10e89+J3eIfPMNcUTLTsNTd4BW4N97hjezK3jpGwWa2xGa4VOALNFh
qLMojJMckbhntEZ+dIoYxTGClYepqkcUirRL4W7oFeXr2BF7ouXTo9sqX/6KQtbVF0JR8kaZ0qAd
c3MI7xuFb7K17dxEoc+yQgoBxfRMpUo/y9Snp1Ev4k96XhWfAOn4OzvuVhv1YNPc13kvAHq5VCux
Ex2Z0BHBx4jO0oO8YgcL/DE6pjAz1g2ZLNkp6+kLI/U1ACpgMKsOZWPG3XerzDz00kEOkttnSN0w
QhkdRL29357ooTSIRjrrzrZbjpVNa2w4asdhHzfzKZHTuo0p/F9X17/JbPc5dtNpM5gkTKeOwae0
T2XuGV9SzzYDrGNF2EQuiFqvBJGPZeJIBKUMximxNko5tq2t/2LvPJrrVtJs+1de9Bw34M2gJwc4
lubQiZQ4QYiSCCS8SSTMr38LurcrJEotRtW4JzWoKhEHQCLN9+299vK5S+cX4Wm3fkNCaUBfLUIm
kW76VuhhLatxr1uAV3IKeRNHhAtRGFQ6s+QDr4VK6+zbYdAHQ2QVbG60QiCCF9ZV79ifjDV2elJE
GiZ5XkR57ndhUxY8mBJmQlHOMNEsLJFgR6sTAbfUSwZ/R59xPvlCndPZNh+tjtyb0J9oFusuMa2G
Z5rhok1EcuUkai71LDe1XZKcQHlkEZn1adbMaU8ZsgnLwAcT4njnyU3zsHEroK0Mv89a721Nz4kf
SsrkhwZ2xMkxe/0KrbyI4CSQXOx3LHMoB6mLeeS39HIJwXM71BuQkze1TK6BYLGyU1w7Ozo3l/nF
ViywjSCYdDJ0G6/f/Fl+8bNqYD0YImSyUCdg1nF9zoc/S5rS2J4LnKXimJU0mLAEevGpW3xmaXJR
3Xtbr9ovDXspdOa4wv7Wj/6vYTE/KzH+vrirmyYKIwSqxls9FU7Dzp2XRhyNqe6+LFlXXTaiSM9I
GfK7P9/nKtlB55BwDPj63//1/VJIpzjTrKdfND1v7lO0InNJeuNSjdlWW76RGdsH//7bn6/z3d/9
9kI2ETQc+hGXQCX9+YFCZ0Lzn3vJcUAItyOJYG3C4scrKiFv2i5HbKPQ+9CZs8vPNDE5UY8LPk0t
TtfDdUy1cfvnn/TrK0a7B97ew3nPmdZ7c/YfdOmnklPGsZ2q5YoULtJ5szUQD2wOUj09SbsvGI94
zwYmz+/X/r/60Tv1I1Tcq0jtf1cI7wp2Jl9/dtL9/W/+p3ak/8Wf0FE34uNfjW8I9P7HSuf9hTbY
XSs6yEdXIN2/rHSWgUaYMY6eFMGO6f0Ao0VTDGaL0AG0i38TGv6dktIvgwq9LHYL8HUWGxv9LeYg
GSd98dk3H0yTWDU6m+tOn6UtuLSHtYzjOXzMAAREFTH5+//exEFtjqyGlYrIeGYCe8uEbNtkCdQy
yf04IFby5hLQnjCLCH9aefjhtfxGn/xmjvr7UoGPMA1hNY/uzffc4eQ2yA+Re9ugQ0mm2Lix+pSs
ed9o/4O74lGSt8qXCrzhzRy1GFPezLYtaUZMNEOtpY3WGL1QTt7wDlXzZyWr8/2uLO7JpuxEcfIt
23NdPvPC4QEGdB/J1DFvq25wXyeW6aSKsxBvw0rZjFngdELg//xI38zF/1zc4szNKAYw8uY+JY7C
2Gqk3LPlRyWXTeAODLt9R8X564tzTMalB/MWZfIvMSd94mMjaeNh3yE87xibVS83ztRixcqakg7j
n2/qZ0Xy+kQdE7IJtlcDrxi13Z/nfadVeFUMOeyTGaNnmnffaHa9Qi4r8XuVF26cNe8s3b8+Rsc0
SY6B+kGJWX8Lo4xTzoVgfYZ9pjsO23zyuho9qN9ZPdaX8cN69v2+kKnTcIbLjJJ0fcw/4IrRSdA8
wmTJkVbNG0vTLhOtP6O1McNJh5fx7z/FH6/2ZmgQLIIkAXz93lfUaGOKr4kqwcllORu6IJAbFtCX
P1/yjdr37zfnowBzLMLUGJDM2z/e4ZzmLlVmPjsjdW1M/DY+L32ICU9Y/AM1NJD/7Z2nZp8uo91/
dTmTnujjHoakq/dqCNSW9X3c4H9svkyTpR0RZwUbk2PY/dLNgCtSiIfkEL4zMb3N8VnfDJpouDoY
SMB0vx1xfp+4Zi35jMSICRU6wZh7G/BbakshTscebBCC59MIt3h6W7OY7GfqZXTAOR9cA+60QoqW
wZmmQfLOt+D8Zmha7H7YUlqIt6y3AmoEH26+OIUkYD4lpD51ItGlU9j6LnmwaE4+TMLKQn10yR+s
i6U6TVXWXYJ8Ja0cyCsAQr1Co9NnHNgqfWMZcH7iik55Re7LRTKY3bVJAeRIJC8ONEXFbPSQ9LVy
RXCOQsM37eP6sgTQNVvzdpZlEv5odT58x+kkc9AEo1YM9PadYDMVzkVq5x8GDrPXuY3MdYYlseus
QUSjJs91sEIthIeeB/8xdbYCBFo6r/yZVu2JMNCwPsyv+WzdSV/mlLSS/CDdVJ75y9Xuz6P112mG
zDU2Bnz1Nj6Et5u5qU+cwRnXl96n1wDU0lD4+tEQ08OwxM12GOCU/AdXxJ1EVhGKCOabnz+PoJsU
YZG53HdxfOTwtS2M5EtQ2ZedRZZCHrgf/3y9X+dtH4OET++L7hdbnzeM3T4JIIkUg9xnc4HQiKLo
EcoktRWzm6M/X+rXYUpckYmHCHnuCvRd//cf5rZkcAhgUDWroK+ci1prjWM90gX+D65if6cN0J3n
Gf58lVKPtVKOPEDN7XQSj7xAOwxt4t/8+TJvHBvrPMbd+DT52C1yYH3b48sF2GO3AQw3TUYd1chG
du6ETNPtK6TXce+xpWDg656VnDr/qTOTfY2i+L1pyeJ2fl4wcDZxmoNDhUUNRtjPt0tFzF6E8vq9
PVExGtug2MVjJnf2KIUfWvZiH40KEFKn19+KevTucpmN+8TR1VW5LNbJyev3wvXeYrG+P5qAaAbs
HFawIpd//k2JrWmcr6x+XyVDddQ7ZxvoHLmXSrbXcd8QzexRqi1AV4YFvcczRNY5dIVuRpx868ir
im+FManrHJUzcNrnIdNMmpayuZ+rgUQTQAcHglrGUzUX15ou39tc/P4GqEADzwDGrq/Wvx9HKvW5
oJz9kYeazndJ5zW4Vu3kAxJ8Fv2WUhk1aT0sPVeyYnUlqJ7ls49Gse/cYD2JxuHkd2oLszG4rYma
foBg+21x4uqEUi7YjU0yR2OeaawVsth1AmDqO6Nzfe2/DIsf7uDNVzDKgh9Mzt5+Rk51WmUVJ0l1
LMKtG0nRMckPLrCbTD+COlrxaPZ7yV7Wb0cm8ZskEPomaK03nzvSJHsEW9vvM1JzGxIdfeeFbdWN
Z/c4vwP9a12o6YnKXfqlJzt3UDChanNFK2MAAZ+5M3XgoB3I180ojLFELzWgW+eC+8nJYIBmifFt
BubDVOndexYIXuKJI1cLnhof96KhHP1Sc4zisNT1Z0/pdDq4UGJjG2hGNPLvPPNft24+WQsGZoCV
B8dp6edBA4IdFgUQ/H2bFU9VTPMc5JS26CkYCvirf37Bv5m2KeVQaGFfzx9+mzvaE2xadUw6+yap
XgPhIyQzFMykCWXzn6+0nrjejCSutMZl2mtYyNv8wjZOBtKmHEZSlzzkhpU8EYqF6gqFnbtx5rwg
2cjV/FPsUm/886V/s/rCqkePQcWMs/lbZ6xMRGviplrZm/OnWPo3k9fe6Xb8CgT3hSOv+84C9baa
tE5c2JVMXBikMJCZ9uYVBkrrJyEYshzDqzvQcdfmDKt45U+F9IW/6XH5QKTVFCVzw+bG9on16BMS
ytit/PnWfzuY8B2zsnyn+7yZ1sUglZMqvt8RG0akN+gRMLGk5JnX0JjS7PXPl/vN0uwi4eY1Eyn4
awyfSy87KYeJl0z62D5pjBjHvp++c0b87fPFVUhS6Pp4qYL+/IlkvZFgAIaazBm5C301pZGqsiB0
Y187jr3F10lvIdJmlN4jIsSQagBMCKVdLIv73hz566Hc/27J5VBuE1v69nsd58FZ0h6KmYVkZJsm
XrLru+VqVnMSJqWhUSwuqz04PXLlwa2+81kZv/uC2Q3xsNdSsP12rEnCO0yL9gqaWjt9abwOv87Y
JfLcC8MpN6Nbu25YD/wB+kwB9UPltoVDp70BU1BiKsnDkQbUlUqtBEGClIOxYrreM+H+5mf65Ne6
zDFUNH/Jz0k1X4C4c9s9eO1uN9iL2gK0Drbs5cU7j+Q3lwqYP71Ap+mKSXydiX7YHwpE803beS2S
grh8tcEf3S5VWqI3cTFD/nnA//ZajETdXUtqv8xqQAUX2fh2u3dM0d0SUOnCvkQHmXWSKuK/Co03
f8+U/68ayptaVLL/7//6zSTGbpeyCFtEj6LWmzFvLnGSkVTT7oWFUALXVXNfQn4E79uTWjiVkDjq
dH5n+vjt7XG+xuNPkNQv1ukk0SsZwBzfz6aBRNyhryKyEua8br7X0oDl9esKwU4Datga/wuP9s2s
6ed2PSSLwRCxO6yv7kzKYyhSe4QMWMYVXdQO3L3LnpxOlqVGbcfJcZi2C7Fx5W3pO3xcgriCANoM
nCezURgvuir3h6gpChewf9ymn+vR0a5yWhv9LkkLVHM9miZQ59ySFXpu7ftRoCB67EZLJ7APGkmA
Aazzlm1tdymEpzwlkW4wCSspbCgqO3KKJ3drBU1qfgxGQhK+uRnFkgRfpO6mFySF4kToRN6lH/qi
NuZjUVFd26fCKO2tpjcGibnTpO17DDz9tVPS97qywZ3Gt25vFNXaB9PGXTniNps2gx3kVVTlyk7o
VlYOeFbHquE/0ei9VxoOylNXafXB6HLkz3PSgQYNUvFY9sQFbSYURtnRS8akgUNfo9+ec7yn27KZ
q+4yUxwnUcAEwJ33fT+ubCHlzFNUqzkmgkEjk5a6AzrtqCmddXMlANN99vqYeokXy4lWmV139w0d
am/VC2fzDRxWdV8JwKTbWSMZ4E6vSz/ZIqBPhtXuMe1afwoEtroEu6ndJAsMtz4L9lXHErUt4rX8
pyNTzjdt7/gfsrSl9ViUQFx6O1UICprGOZT+cEuddzcop3mK8aN+LDRfv5OVC+8J4NVBW1FbVhuc
h2JeG/i7KfWqu9ijiGqnWL0XfA3owEDXBHm5SwZ1skBKhGbTf85y4ODOAK1tyCZrhy0Mt5c2btd0
HX4DYQxuP+rbgDTRvR0s9YYd87LBR5Fc9HYzvXgSvb+NrHFTeerz0rrOAYws+Ppp3hDf+Kjr7haD
d3uz8sS2hl6Jm9xCtT8QqHnhl0V6ZY28D04LyAaJPplATe4dzbgVYnWxwIM7xlhMwynLBzYVvYc/
3HaivveWW3Tix1baciOWGfbqkp9zqktAiLpTTlZstOh5u50kHUTIqURNeHl5MVppJHizN7Fv35Va
ir5q9NPdsnRLOGtyIAxiNpEZufpdnBTNM0ZO/bJKPT+aZetGky67V1drqxDWZxP5FKz3+IydY1cE
kGOreDpaOhCpfkbnTZHiZJLkANrI2OXO/LHUh/ZjJeKD59j4tuePDnRXYjkCCnUDaGRXSzq+wNI/
qgGKjtLaOFociJSBH5/62BKRm9T+Vs9sJDJjCxE3C5Yo5dxwJzpN3bRJ59/1w8S6aPWXco69VUkD
P1SrvvVIAyAES3EAi1QSdg7Uze5pWK8mCipc6NzkMofgVSvcsRt2mitJoxaBfMhrH3SEyeB5Kmmb
TpGH1j1nMWWSyJJhJPNjya/bkVGWzXEFjMk46kMyb7Va1jscpD461bom1JvHHQOpnvtLfx6Tsf+E
vNTrWwQ+sT3m0dKb3SfNwLKRJX6y0RBxNHtUsPWXifCL5mDl6OGjEhkGXtba8Fb7uivRxXp+lwBR
VQ5ZUbXQoQnWrTh0HU+KbJiqiFCjKXT62XTz3aUYl1UujmPmdlsnEO21MZqIZcnuWDZgqhAfiF5/
cdeUGlRRstliGSguGhbZL7L3ExcPUVKH2egI6xJHCB1pEmtfA4r7Q8guoOTwHSs9wiExfaDPVL52
TbcKNcveeK4mr4s4ojnnoML4hLJ0jPq0n/eSHcuDP9vZJ9Xzd2ZitYhkMNvTSi0Jv8eYksLYP1GF
ow2SkUe+k4r4uA0K5fZjmvjtl7ax810+ae1HPErikHXgwY4kfeQ7aGD9k4Nen/NhPRISGzuljIZl
ba8DUHaQ36KXxhXlhPhNreOAMhsYHC1iTqVBt8s5N5Vw8cn02EiRqMc2HpNl6zsC81mQjLEIa92G
zFvSGjw2VVqsY1AbT0mQpfd6mRLj43WDifpLNtpjRaIlrvQmD9KLxFz4qW6uHhVmtfEqgXx5JpnC
j2q9Wa5qidfRhrJ2BOwt9rYu3HslTQeLz+y1J6zb6RmwYPNM6c7cUjhzVtxe626rulx2yzDlyNim
VTbheckZMLLywsZBxspH1PJR8XYpwrenvAzss5emzUu3euXtBQVUL3jeIsvn/TLDe/VTHiohifOF
xtC8bZyueXHWE2ZYuQtYXvynYs+TFQdnKvmzGhQUo7PbU2NkweWCqu9Fzk33UaU818Xz2i/1mmVM
5CpCLITUZXxKqEbshwB/TTD2zhl6OOgOVQfJeRIYm9jvluX8dcnQTkyswKNlY4gajXi+NFiWG+zZ
WRKi524BiaOgrZihhhhzdY2TryGg5ixIdPjQuGlyTUZQ/YybJo8krlLUXdoSg5P22UQ6g2Vu8am1
p7nT4yjRBoXWmpuHozB98FFxPVdJLA5Ww79udC05D0HrLpsUfzURRbpPxwKM6bHLCRbbyIAiTiTy
MT7h/+P/EKvAhwU+FjLKlqYeNgvfOWUs2PfzTNHa97Axe4nthHE8F3Ch5TrKwRoAYyA5+F6UqXrE
cDV4IQrF9lQgS7nzZYfcPkvdey1Y0E431ZieMdFDj+7tqvtYtKS2+WAjHnXEpXe4Tu0zCFL/0slQ
aLfEXB+NHK0WFTvsQ2wy0rPd89T8LJ1v9ESbX/UFt6I2rdp+ivbxnVlm9vE7Rt+1Rv5iDfKfLfv0
IdDpyEBytrXT0lES32plOr96qP2rEF1vXG+ot/TdpgIiWIWuRj43M/kC+0RobnxngzMmywzu/Xws
lXJT7p2RtGigmCMKSIw05qwUHXZWG4gLl/pGszKKuGoueNd676fqCEkBeUzQy9fahyRN76LMAFiO
7SviUePRTrCLqbE3vrkqG5AWmlN7y2yxvNYkBkGbMCGwYHZwhm94awkjiZXH2G8aHovLSt7vAQka
8E3Z8j4sEDLuAgkUS3iu+gZWsL2VcUXhvzWba6nm5hNRVO2tIf3kHLtka0oSCeCd+taReQx7Isoq
61hpiXzCdLGq2TW/Z46v89I51nPNw4Pue8WZON41eKSZxCC7UzeV1kBD2PKf8Z/L67hskr0qCnWw
USQeW5bNS6uz82HjeIm4ce2+2TWV3X/AaQs9fElfIYDyX8GLbaJYNdYLQFVnZzc4VRs8+ZFpTVXo
qBVjx/Pa0NG0o1x2fIfSKuc7oyQQ+7tZrbJx1JlFQtCUVt+j47yCSCDoReqCs0yHF3QIsmusmCd9
SBWisIZk6D53z/qIgTL1MJC7FigGYsa1q8nVmnM1O/G9G5v1MQCynzDplgsBZzQbW1xCR4JYTmqe
i0jwbV5ht+ouq8RbpWXVvGGrzxYwoP1HCfVz4KTtMfdwDee1sr6qwj4hd0NROvv8B0bubeUaTThJ
wixJEnxiv60jxJ7ql2Bc+0y13KVUlo8t6n66ZSkbUpXV8xMqtOROr9Jx503NwSWqMQoQ8ECkbWvw
+Mtn6n/lJwxvcLUBKoxMMHbCRM8Jh8AoYtvCLM/7Y67p1kbFmn7OS7vZ9cNA48sYmogdKkZR4rYR
BmX9/dCS3mONQXI39FyEmCnvZtDR+1GYnkmpwy0YiMB9dHtZHITwHqdML/eUS0nd0tnKbUr4W5ta
jOmVgOIf1oa58paNl1SPx53yNX0vTWMhwxGt3aj4GHsCKDdjTqkwmWf3gs2F/ZTZzp7QjHrH58QE
XGecThO3DVCaB8GrygfzaWps4zoogwXVQmk/NOmEWpQ97M5h7rqAPVo8Go7n3RJK0O8cBSB357Ev
xHnZJVu0/M03THSFGeJxENfwVeN7URVQnLWpQsfeNHO6scusxwySdWD3000AByYcPJcNvZ1kn7N5
yk/JWB1QgxawK0FF1jM0+EUH2Si0csenuBPWQpQCXT02ZATGlbYTf4DkwDbDJkOBKTDDGCHFna+j
8AQW4V/00ALCWE+JZigQdFqdcy4bB6xKOgYGTYtiOc5zra5cgqwq9mhazgfnVqcmmbJzkVmE+LTZ
gs+q6yqOpYWGhXdDD01dBSCQP5am7e4dgwI8pTW4Bu3SUNIYhIYrP7bay5liNqc6TxHhBpIzPwWj
0O9gKhEt6U2HWJHVAHPl6jtlra9Gj1m/RjlOg2dTjT25IAoJsdtnB2PSgo8BPVPOOZ+7uhqg4DhL
2DaugkRE1P1GKWl8nFDMHWvTezEW91vc1e0zO9bimeRiIuL6XvvgFY6GDWZIttIbytvZZcdSzEh3
NzbWzTCZ4hRdpj4dlFkqcdKserQj5ek9OujcgAVS2W591sZk5bfMXn2mfANeFt5GUtMGICiQMepk
z2WZVbdm6xMBJ6gjb8TMBJoRWvC16E39pSKk5GsbIywPTcyh5xYVwMnpsvoeTSluz44dD+9NcMiB
eVSwSqxW2KKBzfKdMMhqSe1sKQx8dwkFySOJT+YD+2NOpnmZ2qckn/qvZQ7mph96igj9PJSvOVZ5
dLOLjJ/1PjNeCAhjpa9tMAY9Uv5nckA5hNux0IKQRMz+q+ZAZSIUQwXedsmd6r5oJyaGPp3Geucl
UtU7OxipaAzTyjRJMRHhEauK+j51h9xhj1nHz7gZ+TdBM+Gu97IgdyIb7yk4GmuWeUTGS15vMwe5
VFSh0vI4xExcNBN21V+IxZGcG/VKGWk4QvpNdmxe+csLwR710R4pP0apHczaHp8fWwAs9twSh6ng
Mkt1u4rcrmTTWsQubwnKnueGhETFz6pTabpJCLQhMCVxyldzGLgqXAh0jKNtBc9/P0xHacmA99si
I2zpVzydB5yv3nCeqPdW4CSh1eK3DakF8eghNVX3Dvqxal+IjHIPygJyC6t8yg+NQRXobIJxM3bS
WZyLGb70PfEwecMrpN+68rW5v9xzqId0jZ5nFz0qBrUvZ4QfV4GS6lW51EY3A9Ch9MrFd/aQz8rc
V3isnkrImLe5F7Rx2DS+/gDxp58PE2X4+GwP3PTBVDq/kV05v1pUMS8Pr12l0f+r0U7zTvh2qf2n
c0RdhqeocIzDVUKD/1V8RyvwY4PLuVf9N5H1GUadocNSPQSlyPY6EatTWOh8P4SCO/pyqKj/nUbQ
8qv6XLKjI8GoyWDYdxRRYNQDSCbEiAxMvikO3CzCrF9hCUc+31T+gKzKhJZVnFMFT6xdt5CFV+FM
wO+dEjVE3BIxD/qJnnR3GEssUWXiT5domcTjsqTjB1AI6u822P9pUN/RoFoMXMqw/yoN/xID9vCN
qIAf3cv//It/FKiB9RemOZOG+So0oe9MofgfBSpqs1WCCn6axhSK0lWA+U+Yg+X+hTCF/2lVJNEr
Cyg//2NqNp2//BV0C+sP3eYaAvHvKFAN0sN+rvMycztMrCtGlR9ER25tqPxQn8chpqm2rvXjCCfk
SZE+Rwjs/MWfzOJ6MbSWaFIDY1xZc1oY/au+b0jlUVl739Tafat3/WkgWHXT+jg2KBmj3IotN96r
OktvIFVpnwfPI+SQWYisTD9es+4cvBY3lefM1q1ti9ws1zgEwzsuRuebhC4uek1xtjXxxmn5Ult7
7B1Nc+U3HezQUKfsMU3wIZSkzI68MrOphyU6G/Bm7Lr2Q+FXdMWZfMrCOKXB5IKdM+NAbj3mxZ40
RpskZQmkrYBzTUGaaObJBOW9FfCGjJNXz+ajPSd9S35pbdROKO148ve+6c3OEbuuo8dw0IWXPcQg
1Qa1MbxcEfdXO/XnrIr9rwnIBy9azH5it9qlWIddKA2e0O/xiWVNJPkJZIxOtXkBOHTpw8GlsBBn
2EDCUXrUwoFKZWq74Jvzwfpl2KwgxU2o38sNIFh5yHCHUYjznU8UkWy8GklKnUzcJxQMeFlDdtWa
VX3IzPExq4W1z+SIz7AMkkM+JhTH2jJJn8QkIOTN2P08f7qinn6RjsPw1CdAwIeivyEsImWtV0FD
4979IoHiU/cbPy24jUOT4kk+kVY/5ZCcJNWiwMhONExeYKp0WwsPyP2CQ3VTLRr7Wh6pZiGhcbxm
3JPj6u18lgoUk3dqEY9uYUKBEPJi6etxQwjI9UIyDzOi/FSXPQifujrk4KciT1jRtJTY4+fGvWga
3cCfutykSUnurZk/crgX0dAB/8Eu/A0Ii3sFmDe+GYOaaFCdxKSAAgO+ujjKQQXuieReUybV2cws
N1IKegS4LOBcI/E7wL+6K1+O5pb6p34k+EDsqonD5aAlKWti678IpNP7UjnixU8xAU3dPG+b1tHu
wNXYJGkm34jFqs+OJu8dKab7ihVtrzdU3CrRiAN0QHdNTeGkUM+Ohi122EnfsY/MC+mu68xgl0AF
ozWsBXvlkqnp5JhuU1lHMXPHBjr8usudxEttoTBWRHVvk4TaYqCXfVTXWJ77Cj6/A8+Kg4cqtoZG
loBvTg8GGIwNNLRHrSClY6nGTUmfDlK69oQBEyUJzspT2jqEVzW2eLUGp3seFi/MDBJYcvhLUOxa
avHDrOeXLNbDhetKvvih89sIgZL2Wku34qiE2sqhmObTJusyRcl2LiftYOb6cAfZavTuC5BgN4gV
iDFt405cN/RXd1YtfLb65MaFRjFkD71bAuHXjSXZQyoxTxXCUfhGFkWfiIGVk1g/yi8DeC/QJ0rd
ZBz3Q6UYFkjhCDDxp2n+Sr1R17ekAMwnsqiqA3w0vH57ydCa8OC7LMItv3ZN0hvlq9HiydtQK2yQ
gA1D+jpn0CM3PukhVLJ1CAbXiMn6T/ipRmVuUpsKJ1VH/SKtgnI/CmCRaauZe92subN8PHpz5u4B
1DBLTKNJATLRtg478o3VLOADm9baxsFCc4FaFftq4ngNO3j0RIPlPNM+80k9UXtEv8nJZ1u28iS1
1r5mO5BHgFeyi0oTX/HFd5EwG3pM3UoLdWn/XCH6ozdTkqoWLUZp3LRl/KEtzJxSaGAFl41d1Ccj
kDt0U+oS3ltzxzZQu0c76n02S0dESR60UC4CmA4ERPMZj5NpbuO6WtPJZ2zNMSwFGcs+StDSXhfE
22/5OyQPavq879avlqgs97ZclLWL2QhuNeLW916hbnDfiq2Y+8No6KmJjZfSXusv0Cpjt7odrflT
NdTOwVZl8KUzcYJOdjpu+pxAQsuXH905KzdEkxFTbamjDVssygcUYBswcPI1rm17m2lSu0AWkO58
NRhRpXNCbmqCZmeK9juoucwH/nwtCNo9LxoKOjBrtIfmwYtENZmbqc/4tJApbSV9xH0a2IS2UoAH
1ZZR4TPo9a99EHoVV8HArLVYsPMQ3jAS5VQdJXSNjTt2ziYxxrvBh+2R+3VO/7JktzfUwaGdID/N
LVnP0DM4RE0wpShafZmbGogs2THhYGhaRAGmJcS45kwa+Gb/EIgsiIh0nKMWE1LUy/YIFAIkkta8
otD/UAqv3i7BOOz0vhHhOAcg02ybIJdqSneIXKcTCMKvKl+uChkTZDwh+llGpw0L06vOJjuTSyId
622lz5hJhdSPC6pAEohp1LXNGkBTVSDXEw55ms89D/BpNyaHmrPTus/LApehQqK6TXP5bAL+vHDQ
0G2MmfCO2CKUrQEucskY6Pe9oLwy5vkruWrBbiKMPWn4q9QymMsySkugGozYJOuSqT8PIHg0xLvr
hexuYlBoIa3H/nq0fcXiTgKVqyeEujmvTdB+Iz+p2OHSIChzsp/ILIYim/ftY+Hzp5bO7qhcTvK1
G2wzZGufR9RLqdf1Y3rD2SC7DSBVHXXfXC4VGsvd6OXPQxnrEZNpzawt1JMP2TO0pbXCFqpQJRDs
sslnXndF8WJWFDtKE1rkYJfuDlgiZuJAq3Y9BdRLE4zqVs64WJU1v/RpPG8UwilACvyGMc3zrR60
/mOvmwttyL7mgS5YQTYoLan0jXnDz1cyzz7x2efySo6V/9B6q86EpOZ7enRHFzZVqBUB0FPwqjeO
jLNPXubeO9S1wrpIrm2z7g/W4CfwNdOs2RIpx4NOafR/CJyc0BjH5WwESsxeYhe9JmQV3rQaZwhS
BJEKV5FXmtTmVweUjBPNvGcs7EZ9hg0qDzpqgIM3Of7zmPf6J+IKv2RNLM8LxtVsq8ApH7JGWmen
dNXWIP6ZyrLeoF13UvDLJia/Tew4jAi9vGv9wLkbaQzpIbOmxhbDbMyQbJTite8sn356nyW8U08n
VHsmt3LfNIbDJ1ORDXno+mAZwgFzVwR07h5tKg0dqV/iRsk+9m5AZSKhND+msJmzGrdBm1hfC7d3
7itXmF8MIGUwA22X1rcmholgKnzFG5Gn2RCBLJi+6GBBIroD/f0ydmTHMnmi4tE4K1buzeJWF9Qj
pRcploPpYGgLISvKVd7XOPFgqpi9dw6kI56cprOvDCz+EbSYYkvLrgmbGut51LVeSYfNqu86y+7w
PvIorqfc9MkDimu81hIeV7TAsQTaOfXzmfCSYp8AcNjF3ijx59Jwavhde9m52j4js62kkV2IJ2az
/IklbvhYYEm7zzMZH/TME0fdGdnxxq17aiulZRuB6CDfzO6Iu8MEYXehNDp0wZJ2p0Az+SBSyuxb
7KcBEIpOwU+cqC9NdtVErkr07aL33a3Ec/ak+8vw1WlGdYCIEFzUWSbPNibKD7XldMBv+hrENgUG
inkrPJfd1fIYdLKsqRA6/fiQGMywIeekIYiWoLEQ0hXNrLYi43u4CHwbjKcfF+6HMfYX92OSa2KJ
4CuzsvqoNvgQu0kSVOmClrdz270GDZd+Ut7oamxWhnv8FJRD+rTSropqEp/iEhcC7ZfSBno3Fcdh
qPQ1MSvxNxjWNVANwBuf9HiC48P/9TCVTK9dGdyT8VuxCWuHl6pEBa2lHopyuSQXXcWWtKgU/A5Z
qvIBaE26sXTP3I9+mV9mAON2M2FPUZ0gsmi0peg3dPCc3f9n7zyWLDfSpPtEaIMWZr/9i4uLK1Pr
zA0ss6oSQEAFAhpPPwdJ9hir2ENO93pWzSZZvAoIRPjnfnw0qvG2sB1kegdLFX14WR4NwugvqMvr
EZEEjAePVnJTWvF853tC1ddTkk4OteOT3riEtplHsFkoZRrMa0lkb+Kt+M52M/PR7nOvGe17ktRu
3rKMzVTaqfYggrSkUU7QC3smBgNQFyEtKhYJ5ZkwH+vo5BdoYFhbDl3qOs8mlLx+u+Bu8Q5wmqTx
QWVKvNWh+SUXtGxlzNFnkGsRZbhMeE04OhTieXBi0k7VFwP9b4e+DYy7qek4C9C1tfoc8BZ2s3Zq
RiWPimty23dWdiGFk4Ux8LnPUtX2N73KcX2ojAJeeKjyoc2DOHvFZ494imx32XE/AnNZFgdjv+//
qH2ZHNy+ZAtudBQvNJnynhaBkSQjW21HAc7cXWu2yzs9DTBgQXIyhi6uak/qe7yP/Wkxm+4Wzpl8
SRne3o2j4ZwIZaNxMyXYOqlBmN5IS/iSq1BZ65RK683atUrdXaiQP8GRN9R98R4fW3aRUTdNAbBx
Q0T4NtfNeTNHk4lxpy+8oyarYVtzcL/DTRvsFOUI7449gePIFUVdOStTUUt/42V1us8Sa9iqmlIS
Kytdft42HT+KQBsIYtrXFqD37zrt9OhtgDM7yH3SNOdDYzAgySHQXGBdQtskLztGXDfNTsL5j77Y
ZpR3FBSMiSzF11mmVBPzGI8nLX9r2dOTNfPKg5ZhtSVVNYKdcit/Q404GAldm3F6r3jNGIs6+Ent
urOW+U6O6YEReHE55QwfnaSyMJjgz8fBkKY/pHTtyzjOMhbaJoFpTVtz3q5GKinCGXJwuChYryrv
Bh4643ybdnpwNUz0OQqKAw+5mzlkuPBuI13XJ6ZKNz5Gi03btlMdUoD23nprPyDkAkjuRuNf5Qwx
w6nU84i+OVj0BaytBNw4k50Wma7M0vJVk+1rY3k5tE5/byNy6hsIGN+ZSLUHP9OZM6yFcQYHT9ye
Dg6WqUoKmNIW6oOXUCi+0J8ZWGk08GttzGp6QcQ8Y5DYzktDi3Lx0ophvd56vY76rqKsGTZX5BKj
3BRZEJ9EBmE7b6cYdjpgd/bMxBhWXlgRKVRyIEJTc1HDV+FqIcBi6LkXmsrOLqAv5jfoD7q+7e2p
96NB6sNV27HfhmltbinQwpDkt/IYNHh3GREvh0T4+o+x4ogGrGQ4lHjjCHg15q3oPBQBieUknboT
I0Kx0UHnAxnrsfzM8uhLt+EBDBfT9MrhdsnTZIcX/IPzGlsxWDH01y6iPFa9HHIsw+38PHTrgHgY
Ly2Qpk9spR7AtDShpzrvnDLFDhHl2TjWKV3qC1D2tNfUthr6t8BoLkeDFFoqzKdKY8nDTmfvpKv8
cCTD+JxORgnfQ5Gs1v0hBNLrPCw18rqz5OaZtpILAJGvHayIw9ym98o1PonHsv+b2R1ViaQPuzZf
CatiWBkq+zu8JAzjibK2zA2eJua/n1KW2rJLKvJ6G1QPNt+ThHe3uOWdP3c6nIJEGFv8qmjyOm7D
zTQMtJAF83jXGEzJN4Ufx8hO3TjunBYaFpv/0uCMMzl7ABvBHfZVh1gn2HnwVANzMfCoaadxJ5SR
q+fqZFZsJZeMZvQ5ibf8VNK7zIUjrwc8nckG/8Da+51nIP7MpaiiwS+MNur1VFJt6PpH/oJ/BIX0
00zMO1vULB5+lp4CJPrT7PBwpaTyG2CbvtnDd0kgZ/X2xvOghjvFdGLmkHOrG0+KRxLdxmtcxFy1
QFnR8hKspFDDJaYIOZGaEMPZ45KxQ/iILAnupIbxgMX24A3NW+Ivp4kLPiwyqQOl0y7joGWvU1AO
KhoPw8rQ4RDNvcjL3YJgKfJfE0DpYyxENSinuDAmG62S4TYQ7Xe9zLji45kE01TdNrbEw1nSV1iB
noG206V7zi4IiFgcrtHSnzPDbs/MV/CrKCyZSWHhINdlEmV1aRwmweFMOX17rLpER7no6o2eO9/l
GAe3vaYjw8VjFqb1/JYnBspZN1s7L4e5JDrrI3YG4370sS+50zyqUPT1+MPBTXDP2mducDjRdq43
/Uk1iFG6IUIj1uxLejU0dJYsM8mA5fkhcCtsqkULz8fCa29mY9BHXmKU3kboaX6i2T008EPucJjK
9xY++itFa1a5FkEv33IzjenlnXPtvXZLdQ3sTzsIHnhqY3mMK/2cZKmXc0QidChoo8pIvzEej7AV
zB/ss7i1Elm+Y/b2r8kZxpdLl/bftMz9TJQxw3VKNcBQyNC3y2RD18o8nCQy08dHf3L6G9NM7eVK
TX7NCMUr6z0qaMmkuLMkUbHA3Rk1SKKtm2fTVpoQT0IslHKXSZPhMtHAKyNTzhA6PAwOWTw8zInz
yA7BuSfnUu+ShuoW7oM5wrJscLjyn8a1y4I6JvM+0QsYT6l17Rtt/F4yFQpFGYONJMaZ4Skuc+08
mmxqLooKabUBAnJmD9FNu8SlRBOAsNuf7Ir1ByqZLsU+iaFFIhJBqx3RwtjTlK6xqTjcsL0ba+ms
tmb1pKTdnJuGrtpNCkGXQnIdjY923zicWRde4eYG1tWYOfrDwH/A3fpNvzz3uK033MYxohECNXM8
fK+XINL6C4+rh+ozOQJ0aKrsYsElorY8sEDPqz5hxzQzWzbMjig4DiV2QqwyryUEuDec1NgX8150
B4ZgzKa0iYLc1rf9Cq5mMYS2b033Ti87xCc9hyvGMcznl6A2rDDb5LvDDDTZ4rFKpi2a2nw3w+HN
Q4sbLVqaaWYS2HLwnkwe0WxBS9wSlvwc2V5HjAhuV0DcZmld/SRzt9s6sifLmOHAmZLBfKaCtwJ4
ZbNgL8oxGNjWRrYpmgHvKDM0drwqqW+KRRueNTvrT1baoMuUS+BfKiyyz7lcKyDKcd6bkso+Dq+t
dYt72bsL4AuVG2XEAQ65lNqVIstPOCaHe9O0EENBQ3KX1hXLKt02fmWyZ0zx4zotVgZvtHli9SOq
IP6qIBFXKPwdz5NAWcVZGObs7Dp3dPilSxHhqknEdsrbmyVp6cx15xXpigz1QJw8OQmbpbIqsF0V
IMpfAZiyUVvcDkAkAtNVGgR4SBKRNc89LZy7cXX+JrXNw4xLasthJ4v0pIV0qI0EvJFGzyqevOMw
6l0kWze/kEZVtezsDf2iXurxsRMVKFF3AmSdamCVXGXHLCeddivzRl458+hT5GAkUTsscj+2uh1a
EtzYRlNjd+kXpfWCeqvxEBvlg87+7gLLwbjrO3b/yJkeKo2W3s2pGEI/SAZE+1oQlW/Ly74LvmmD
YQDLKuODmzodyaDFYMrLrWEJM42yhqk+ZTs3FSTGI2nD4eRq3jJu3LjY2pBEuWgoH0VvVifsWP2l
prz8gtzER0XbYDTEVMkKf35P5jIN8ZFzMvAFsqIRl2hlan7SMive0SGVRpJqnUjjQt+ng2zDQc3m
MW+xsYZ1Xs0mQht+ZWsytq7BfB5oJntZfVGvGXTKkKPCcsD+gZPQM9r+xvdqdGAjKIpt5ZhDcTeB
+t7OKQ8bQSAXFwrG5QuNpqbRYXyDxmqw06jTnZH74L0omHXyhb+vx7etNc3XI23XG3PIn4LWfLES
FmtHq6LMtpYtSsl7APgJnwEDj3FMk22rFfq28rR6Zxq5fRixkGKvuQMww1HBBm4R9Drmn2S5ttLM
oqS3eZZtI27cpD/EmnlgY9Xth8Ue3rSJMYhpaS9wVqj1XdghT41GZeHAg3ry+/cSqN/t2De3fW0W
+Ldqf8XYrQfBtNCuSQ8D/tTN9NhUukmhl/YdfEB/CQhZ4WKDrZkxBkPoCeyXbnRAkJXTxSDlhCm9
ef6axf7f2PpvxtYmuUoCPf/z2PryvW3fv6V9+6Prfhpf//4nfx9fu8E/AtKThuE5DqVowEv+e3zt
rZNtAn8OQw73i8L93+Nr2/yH7zPr9vljOi1x62T79/G1bfzDJEFONgtMWkCw/d8aX/8SiOI/bQBU
8VYsOC/GnP3n2XVgza7G8k5QICs+0zoJ9ppP8B2aw/jvRa++XsnUdRsBhpn9n2LARWVX9jIZvJLJ
QlTq8k1W9bQZ47T/zWnxv+a5rZ+J1wgssCRo7P76mf8wj08gti5Kkh4Ad9Djv9Wv26HkgYEA9ocf
/F9E2P7Fl+dbvmlDpHBXXemXCNvgFUZQq0VywMk/8yL/jLXsU/C//8nLsJk0aOMN/vQbwfBY2tTB
chlrYxAFq9W7xdjF8Dj7D746rtXA9r3AgfX11eb4x68OlZjUHZ9oiEt1MXGoIlhh+heq+rtk7S9B
3vVy8PFnrMYOy/hz5NUbMAx2AQmVdBzzjduz40kmiibmJ7n2Yvz1N/hLVvu3F7NIa3pMPgP0/Z+v
CI2GcO7NWh6ChgYjry3VQfiUjNRa9q775GkzW1nMVeLu378UfdfG4oWJ3Hbh+vz8wuxve7NIQb9L
8LL3WJ6sjRNojIwFf/XXn3G92P6QR//tM4L1YFVAn+eu/vmlll70M6cpeQAwrA5lL+dImHp8/9ev
8q8uefcPr/ILAYI+S55GfcGroGGdTTU9DeVYnSqCJ//JV/eHV/rlqxuxItZDxSulRY+rbBLvX7GY
/8Xtpf/5QyFnE6xdk5oUfvwa5a+Rpv2yluVBDoDoUXCo65tlh1/SLueICnhI24Eydg39Bgcdt+r2
qxTRoqXqNDQMghBQqNnxJ6rm8ZeO37w0w+wnYutI47Sx673888vwThp0uEQRwRMr2a1vTBjESF38
KzPo60jPGWr3PDHQ3hoMpiown3MPRzhgXiSOEurwWE7OISYbRRimCvaj4HrOvclNVpcmJkS6ovzt
0NDe0nXr2SBHlOgYRt53mrBPerCM3zjRBXsqYHnvrsGrCJvyHb8dBPgRzi7RbBf6x1d7btbyfr4q
VcqYD51TMrQjmSKvSfDU244ucJexG8WuG6MvMEM2VhcQh1FyR0vuhK6A519TUsMUy6dbShYu8LAd
UyOY4KgtCH5JVkWuyyOg8lZvYwp+NGQeZp1sLLR7oWjfM3TMGn6JB9YPMGl7hW4+JymknCkxBMJG
XTzhMKcDubXka+OW5nPMZ5cbbzTkqyztfuE9DZAZUk8GXWhZUOE3eBtxV2q2Kp5atIOzr7XlLbV/
3VvMV3NORSOv3V586ga/aS9c87n0s8+pHeP7zl3q47gujWlL0+pcMJmlt0VfK5HolUhvONDSzDdl
9pEVvQsR5+i8QvLAfe3ioUWGrE5IyrQ42H2SXSWWBHDtwqsA0UGbTU1a1KWpq9qanEV8HFSkwYo2
sU/Y2v2LFE9OlAOFeSZZIhioMecDlp08MBfnIyVelr8FAOjJwnOwiWEi0JeH2xZz8aLcYp9Vpi6Z
jw0y2LqkJF/SWNI2Rx6aariqzqkrclGzLzT48M9U5zkPU5XjccV2ceIzzhG0GoqIdB8zmqCbrYZl
9oAxievHUToiibKdAfxUmmIS/TLTqkla+CRMfoIunlAIJ1PieNYYKYW6cIOntlHcdra+aOFg84hb
ZuC2KBcYO5xilOlTR1Jk2Pd+Jd6D0dR2QcV95HqEqTYZ5pR9O9B3NlI880KqM99z/AUfM2rKzHYC
dW+JFuHnGO7bZOw5suXGBxOvtdGIe8vmCEv0eXTax4EB4GuC458W1II1dFrlTEWNxwkcxyquwvSC
ocYvwXE9f2sSE2RYTDWAmlozzJX4ZJQYXMSGa5EDWoydkXBe0sDEj9u0dNMrXCBT1CdFAPuFX6i3
ePT1Fj9v6tO0SVtefM9YDYh0Kqf0RyUDeO85Ah/2QBqDALS84Msd9lZZY7eFYl6hKPvViXP0Zxsz
DWq0Tg8JWe+Z+v/oeuVt0xbLVGMeunr46NM5O5XUNkV9jPeLR6F3m66NKqRMpkg3iuFyAF3GgIX7
3PY76AnSy599Qy5nPZh25eIhPiyT7MKSYTSnsYwMr9UVXNSsitTXMUCk9kQE1xabSorIuOspRZ+x
hUlALOSno0WxupVjN+yN9bnL+N3fEqt6x+rrX/uYf9+pMvJvLQz5V3UyGg/Cjq0TXFhejQX1rV/r
pXR6VQFk8PGdduE2Kn2S0F3Vj99aTWF4T6Dph7DU/FvDZZBj64wHHBZKtbZNuxQZ0TgyMWRXoLxi
b+3Vcpjf38Z1ri4MgjvYutedVh9Q2VDojODELFjEzB6KzshLK3qGMQv6XWgaxvgtdSoCkAVKT8Bk
fbBxF6usuLYkWdh0tDCZt6W8RnRhX12b9bkwmJ1vxyZlnFEawMs8vh0AmOO2dHsj+lp14a2/drlv
/NBHVqthvUbwRRtXeUxGRDhTshuQBljj2EnQeNE5V4IgE7rIQmeaYqi/houajuqoYXHrx2ziG1q8
uCLP7EGh1NoxBCnPyl3oimZSngYPg0zi0Kf8DiwS8Ya2Z+3RElaPMeCmz3GCbYeg7neWcNas4ZBd
4R/QPwKj75hi4wLP6x5mclsc0KEg0tEjtscvqV2Sn7q2Mmt40Yj1XM9TCrtfLM+Zbo3PmG/wZ1Jv
s8fG7hyWIFuiKm3Ka6mp+KbIX71GldvMSj9rtDFMItkj9/OTGvTkYPqMrzAuNtjaLHltz61J6HRO
9izuH5pDzND0eOjhdrGPWpYWTw1md3ACrDg6FQYPTK9kTWsZw8jfFtmvvNjCb7Dj7DVuckrRQp7b
WFLm1QNf4gNW+yqFqmikpMO6NiBSA4ecxUxwyIP7b4qgDI1Ez49UxOjBxpceRsVclfT4Ds2iNoVk
hIjy2CAEOvHYlBtZmo9taZansbHKEw4HXYa0MDQnq2j7bU/vK0TZuKFNwD3PozmVCw+fQrH+ld5I
jtEcgaRj+E+1vU2XNvR7EVjDhI0oHvyTPfR452K3x5mGIhGAV93gCfI+21kQfPGHvPwhHaQyI0u8
4+R70lh9TqqNrMbRo6adWNdnCE5UiXSq624q18MgJXAN9CHJaBF1MlV0bFg9M1fWnvaNAFfehfVU
3I/CmggwGS75DjbXNilpbx5OFGDnW8YQH7bfH6QQeJRnfJY2aIqdSS3sloVjuHUcoV0aVEmLLVI2
vRm2OcMf6k1rQwgLB03hdwez6btoauL3PHXyiMl3Dj+kJkjsNcZL2ZnTVc8zGoNqopB2bLPXQoJA
yxW3a/ItKTyj3+RGS7beY1YsCk07ZhNt7eRTStY322X5xlNB4y+5I8J1dgBphsoamvn6kTyHj7K2
/+sN9q8sIBtDus7ZX6cv3ILiav+yw2akntAVoReHhgcoQ33yUl1CYzajKfYJHVvLq9nSCKCYC/uK
PFD1mRveORNQJDNmBH93UPuF0/Lb+0EhMDybsR7n6Z/PFSsanHuA96NK46nX57Nah+Ojl71XRX8X
Izzu/vob+NPJMEAU42gIMIz9OMPDn1+wtQenTEZZHIaGTVgV4zY2Kh7HVZXSvElK828gxL8Sh9ZP
iPborEjqwLIs/5eTU6XY4NhuTteT34zwhrEUElWtoD0IVb53Wk0NMazlawCo483XY2esydzsUwqc
d8wvAW9CMX6vFzicU8tz/a+/jy+27U8nO96fs5a3kX/QUZJ+Ob3KKasRWPv8kJakYhDfy8/aarin
xg5ZmZYGzPUR8TFupBRz8RV1rRxmc94xmrUZZnwItjLVyTcJrM0mJ08K5Zi9F1g6z7ZJGXClmE7l
bgu+aGgywq4Mcw80PVEpPHFwjWyvjO8tchbv0CupFSdgMOx9zfBu59jgARzPE+CPLBNvX0/FqtID
hHXmwH9HPjN+4fd9/VYOO0ooIq4TAJr8+eJI+jEmxt+uZFNKIR2NutBuIgE/WvYLcFTtoLFt3DBh
M3eOCpwQMsBvLPn/UV360zmbeQ/gPocfBaub+Sv0u8O75crMyGiqmbO9oyU0KGNf/ptl4E+KBa+C
UGG6FmUWHlPcnz9nT9MG7t06O7g2m2cUZi2spNuFDeSYhIkyRTCz4PBAf8jw8tfXm/nn75gtCoRQ
RjmgHu1fj8Mz4veg8PEd7HZM4kNhUwiqxTGxtp6tMfkCZ74ONGpBKT15yoOZhLl0VhfmQDisq6s0
W9dbsllN0VP+mZA82WHxUjgIqTMWdUVxcWzE3VGLGdL8Jhv8n179d3o1Twokkr/Qq7MK5ku9Yrp+
VF3WzWsjhfnbn/pdq/aDfzCHBOS/8hMR5ZCW/xm1Crwv1Zkkpav/s0Py96iVHfwDbyjXC6w2Cw64
x7X8T63aIoUVWA4HdpI0XxUB/////XSntb/8/z8SwwhWraLPH5ZCHWMQphwP0DRvUDe/loc/6JMW
l3vZEQE9Vzq8hqYPDdvVtpNRxYesMyYZ5baFeWC2BvL2k2YZuHxwx/6YgMC2TDSzCrMy896J3UjA
mNZiH0pO0LafGDpZ+RY+wkfim8ljSbFbmCWY8HC9dFQdJd3NMjLu3GW1cBjacYq4TEb+YTi4UyD3
mkjzA265isrYiXK7ybktFO4ERoPxfNbJyOJzdM3uYhCBXT1aedx7F+2y9j71hTtStmOXVv9dLDOY
CHJP4VfqNKCfaZnbcbvk7by1lG4h0lj9KwelMYWeRWod9lcGPYJtMjhWAqDOfRIXpRtaxJdwkhZx
9mikMzv2dKyWUGHvdI+2Cw/PY95479o97CIPw4Y5ie9Fw1afls4sbHWqSshFm+ZemNkDXivS3cKL
xYF/xbqcOYuV226yskNHmoqpFJuHqDO0d2qSGN7rohyPqvU0DHiBFTVYTTmJgKnYLqnXONHCGn5n
6IVzOQRkGQDWe8axp1GoPndLED8tpe/dy7XGRnWz6R+RFy2qqVvpFOeitbGkeCoWL8OoYG1Yphcy
hPf4Dlj7G4zdJzeoizNTfr7LviSDYrqwvoiczeO567vED7VEppGXucsddZZ2pu+hKrKrMzA1dGoG
XdCNh1mMS7X1ALamBJsbsfPnOD7Y1M69yMVi7r202vIQFF4BcyhhR3SwNd0vnjJFAvUxoQPF0xm0
rpnkCPBs0LZ7Anl4jo9pslrkS1EQSH6ng0mt0V0yNo5TBFHZ2mTDpH0FGHekWw5gFC1HxjEbljs/
jd0oSG0OW3k9ipAI7NoT1+B/dlcsfc/sfcMg34Kt5eCMh0g6hLhCSExr3kOOgZVOu2PSq0tn9nEM
4LnA4XhlNwvGMoc01wSShqIzyp3z9pGR/u3ExnCjeJkdJ/9ugwb5aujjsvO8LN7Fw3yvF6I9NipN
o8VtxEVTajqtyGCJoNOZmJorUuUcC6JW47xa2lN2IlHMAN6vs7NWzMtRb7g1TQJsj8FsvlUdnUuN
keC6WZ1YDKuHXV15XXeiP0gc22z8UDCJTiqzk3Pjevhjl1KPFGWYNdFzEGX9ziYan2M83GalVoVJ
o9E2CJEnpW4r/eEswJImQ2yCGK+M2zDSDajK8UPmcOOWh3pyAe8B8wY2H5C1yz0IBfrasM9sBtOJ
Q1sJ44Z3L87CmTW1iadOHsnL9D/kKn/4Ke2THjfboVkBQR5P7yrBx183DWdC576xijssYBeLEaPS
9HoozOUhoz6x1tvgBMrurg2yY0VCb+vrc5QIvv3ETYGCYmttmr0/T5fC1KZN4PTTTsmiY1y/tJsk
tp9WoshmrAiuGSWoaBtCjIlnFLU67e9x4136GFbCoHNXF47DIphB5lupC6Ik3aEDQSU0Zdq3IEuq
qJxUhVlpGLm2ZGtU/B7u3mxLvKc4Bg6+Kr5RF5kRDNWDE/EuyhYBA8KltwRui04cePanW+4K45b6
q9tBtNgE+FBLXV1Nvi3ei3U1y/vYw5wuWo0somnfZSZW+Vp2acgPBjJlkgESQPqia+2Acjp9ph2G
scRrOX1mQH9cGpRCR4uDE7sxK2pZ1m87i060ZAE5nQvvLnbV7Th02Mp4rmCT10YvBMTSPbOuYPMC
20Lq1erElTD7IWyIsu11fqidXjf9FeDQ9M7CSHypJv1uUVq3tUX52ib0TlC/jZhRgt/DRTQJCVOh
au9aLLp8Q/jxel3shJVbvL3afiekdQXBmacDIXsUSCCMonsokPd2ZrnE9/h7L+WXV9boxCO9eY9O
EmDS0Yb3dgleqBQ/mj3BFQkpZVcW+MQ5fuzaEWSFK/aBKWK+RcJsFL41e3rrvlUO7jyHRteDjutT
xiAoNgNgty1oruHsNKN+haf6rg/kBWmzJyoDIb4VS6TDdAA2ttKsgjes3m0IChxbKmup1Pwbv7UI
G4npDn8x1nk5JE3IMuq/5XFivBSO726V5XGrafSjmd5wyYk/Gpr8xGiug37SmGflCn/TDJJahDio
0zCfC5+ymX45pnV36KQ4DVmc77uCeqok0GhWH7QdDzPMyXHAOZhjeAl5ore/AfTCZ9xxPLqi5NC+
TUu4UYunmsuiR6qdgYNFGNvByCIJhaPZX0xZwzNhLB4NezhUcY1pZuHBKgIUcNXdQxa+4hhRfhum
6hD484vw8iIa+DyoxnUe2o6XnYfZAlFVGjvIw74ZJo6z0OJpF2Ru4kbCWEuNs5M5yW7WANW0fWK9
xnUv7zCD5BX2H1CnkZ+zMg2lVd0k2oDUUKvUDTueazjeq8NcO2JrGAbljKsxzaQMJ8xIGHDm0KFp
WRpt7MSRh2FMtrUbEB6jBJMB9RMp8OpaT+QwbWlUI6C9mRfR31VC849Bm+MBHaxHe9Llh4b1HwM4
dM5853jQAzdWYYxqQ7xtHg48Z82IItZvpTbcGKmH+GOP3V3rVDdjpWHvz7Xbck77a2bQz2SHIOBO
Lr2ci/vst3bxMGEDMzWjiww+3tasiuaN5RVPDTLQOxFxFY1OrCDVaWYk6iHduyvP1PclNAxyjmHW
Dq8BPZkk53ztMhlGgslBR7CZIcWn2zsJmFBpknGyinfCFfM9Qihh3t5/tXIaOEq/9J48b8m2Wuzq
IbML8VAlxHWnEWp24MGqsywmWiQhuYn4wcTGmqwcdie1gCLg7SWqLaNSfJcq/5h1DadbUA3PVkuc
MOjTK6Y9JLXWWKwnpIEQlCmM+wvJo43UVXFGxcG02uPlXdoquTTMAjgPNUYk/9Z2jKC+IzxHxSvz
gv5Wayz/sBAMeNaW4FBTEvsAPdveGeCNspDSi+yi6rrvTe5/Y3Wm7TNwg22v4v4Rt+iZiHCwlwFS
tgOMKULZ5wEBF2nbkecMU8fUQVfWwryqqKMOa9NpLgAKLxtSBPNFybjlMBKY3Hpp860A7xz2U5EZ
N1JiqmWBbKfI6q3C37jdmBZ7sKbtzi7tnIdXi72bFgnrnLgY9Qr2gk+rWD2jXhbEHVBqrPsytYyP
qnDcDzuriKUuXULRbIpkbRRsGHq+c5NJ0WbhpM8GeDh5/aJtsh6xzjKvCa7ZFvctpVCQ5ChpKdl5
MCvJYDxBTTHKMT2rfvR2RNWT+4Ccp6KRtIBJWA1PKliOqGff69h19430lm3ZSaYvceIe46om5jbR
usJDcs+vdnIEVNEgQ/MpaqyUk92/DYBGwYjAoKskCQynQL9XccPzL68PKYksArYS97hvFAerM+1N
Sjr7VOljFCvrSqTCesxsV+0LSZ0lMYf6LLq0RO0P7ucl3RVDo+5UOth73fjoi5QNk4ih2ZAshhEI
paAxt/iULYZ0wMrwaSLWCmi47lxFXgO8v+K6g0fWbmDUG2FNwTw2hmFLhKhhOcmcje0zOmob5BCS
Am+0x1+4bPB3BMe0TRnIRzShOsIdJOG2wkkFNrTFfVxuOaowF+g0SIOJB0sIVMqxru27YCztPb3Z
34qqf6wlbEHNXW5JlMEw6px5N400sSjZbUGp4dSVjsJXOA07tVBrX4yq3XRFWT5OXQuexcQAOs0a
iRADy75FAFSkDnN3U9T1RV4uj8w0px1NvEGYASii2dTYGkBBGd1wlU+FC7Hsy+Xux4+eUVwwTbGv
FLbisG+qTza/eDXTNjLEArBKw5UO5+p6SlvIr0VfPipbrN7kPtkxxA8i22azgzzmQE4VxWWesLjM
WBB2gU5zNqGrD3J3CWWlE7Iflcm3zewxhmxdg6yAx67HQJvFu3xVTXN/hQQdlpg5Q2ibTIltfb5i
MHDSKEZk3ADq14OTsIEaPV5Auftec94oDO2VwPp7Igm4Y4Wk25zHsClgWcLZiv0cloWm7Yv0U8PG
vDFcILVUq8hDk6ubJrPOJJJZHtPGD/sh03dScrwdTGXtrW7YmzX9qUDVzr5h8QAVOpNc/9HxUmtj
Zcv75PXf4j75AKDM9VNbt3136UGNrIelg4dUJW/gL4ewt4tjlwE0TizvAnPwC817WxUENSAOIjVm
QqET0Vfk/Eo3Lmxb3oqR3ZnWCj3s+gVsAvZXnREWhIpk0W56FwcyyKlp4ZEgSO6aPAka6Mgy3c2+
3x4VV/DbrNIfVo4ua8UknlNrtdSPNhPtTeqUr0VNnjvKYE9f8cgisjbVVsEGr2b2aaaK/HtndocB
O/Y6as7pTiVpTj5L6SkGVca9aLhg+0biQcqRzePY+8VxIFV7ZFedY99Iq71NzdBOziQOmfq7O1X1
D7OCN9DUwXXg9+KmyjTj08na/rykmXuSlq8O2DrzU19TvumAJ36wsalufWW+c4YXl3llc8BP9GvE
/iEc2jq5sCYGND2omUvEcTtqALTsrRozhyAmvRs8W9t1AVBihY05tqpqP1SWvU0mMqXlqgVnbZds
0TZAYFj6NSMEP3SlsCIM4/G1i6fh4BUEDco+2JSm9+4lBd8Ym9rLqi+qgxLz0VEDib9xuDLKmm3F
f3F3ZruRI2mWfpV5ASaMNK7AYC58d8m1hqQI6YZQbNxXo5E0Pn1/VGZ3Zkb1VE0DPRczNwVEVixy
Omn8l3O+o1Isg0X0xroi28GmkZhnUmK2WzKbsU4ua1ALBXfEIpFnJwGDz+1aTYfVPclkAP3vPOcH
0C3lmbrxHFR1vi3LajxwXHl7TnPDV+/Ve3Kq2RW2dzRT4aPOLfdIK8zERc5wcYto9S+7orjhVc1b
CPx2e2tUdF0rnHAt4JqdEwfwRIpqayFF2QD569jeK8HMtMxOqnBXc2ALMXhQ4hpA3oCdSv7sFn1j
IlbFa28BEuLW5nTfz0tS3ec9X2NT+BtwYw6mtRL392Th4mmyAeBriJnBze8zZ/XRN9VN4gcvTRip
I/U1KOqW21/N86G2xTGZmHeUg0cvgxn7oAvMjFaonU2WDT+Wpn3wm+HG4OHf9AS2L4ncM2WgzyL+
YFtZwDwmvKuoJhjXSLUV6cypDDnnlDZlD1INByUa56uJJ3WrSQPbCD1wRnp2v6MA/DoGOcnH3hmY
//3MIvicKePsaCGvOaJfwBXXB1fPe1ot7mTbBNthVKy47EwALdLOEdojYxRc07ieJEwx+5El+DnM
9X4ZcYN1HaoBGp2l/ty52MM20zSFB6e0nzg7Hx1Dkg/39rAv/InOK5yYxNMODgC9lgUXExOBnR1n
01UK2mnjufXXemiihzzBI041e+xYjyP6kstzaLv3wRINu7m1HXyy4jAoD9Iblk9/S6Fs7fwyAIUQ
QxOq4vRHaHe3anGui9B/JyTx0Jbvgw0/Zwh/9oBJaXOxsaxmkq2qol2Hr8rO2xwv/vizHfoClFjx
BnUk3XesC0FCWtvCabCSLSjMgyWPcGnUzAJSGz08p9Zb3uT3uD8KwoJ078/bFlXqXaVH58qipm8Z
hQNJAi+pkGWZnt/Emxx7HqZveCX7Ws2r6HvAZtaB46nsazQ0Wz+fKwqxotQHpjjJFa8sD+27jfA9
t02nEecs/dFl3x0BugBbmJVdfE80mcAZq+wefgEMUPa7MxX58GSxyCThPFTQbntSxPuttFNGbT49
guH4cDQ6GTeyO4x5XCMvbpk5aJBqFx2E7lc4/UExIGshCrvXv2+3/rvn9ccfze179UP9z/Uv/kZx
wTmXDv/r779kmPzHv7tCxv72C1RJjLwf9I/ePP5QuuSP/j6HXn/n/+n/+cfg/F9N4ulkWKL+k0n8
O+Hk7/X3vw3if/9DfwziA+837hKWfT7RqIIcjj8H8QEzeooO8IAeCnDeB/+hGZfRbziqwlWCCb8a
3KH8jzm8DD7k5IRNMaUnsIT/698//x8y5382h193T38ZwvPPswZgSS3QIpNU+etGuBaavWhaLCfc
cUye49GtL8mcmOfKnsdtQj/8L6Sgv67c+AcDyeDfg/TGquHXABQqekaBiw+RcM77B2GNI9aVKfsX
K7dfcm/Wj7VC3ADMocZn9fDLGnjwlEDMmc4nuP/ZEaVF91A0IBiIm2/3GHRwIKue6IMutx7VBBb7
L/fAH1f5r9sNliL/cF1tX8CxQ/bv8NNE6/LjL8sNrQ2djQmYFZZARyinwSFBbxSn0cV6jvWrv5rz
GRIzmH/yFWlK8Pb2LfUw43rpfWpCD0FcE4fmBvgKa9zEpoQPl4lYDKfg95aNQbQgS4sVLjBZHPwe
ySLQ2WDP/OwGUzxKdHK7ZQ4XGhzsgDFN6VXle90X1GXmiJIRhWGb2My+m06iHAPKvJxEN9tPaP7b
2x5m1JOD+eV+kLRsk6/a9xBrFaI0Mjd+Un0vBzS940upoasrYCWcKkib+hhCLyJap76kqG3fUmav
r8ho+IPTzH6a7QmvYh9UdjQGYOxH1YrmzKVii52QmWPjT3JdeXQID1qjBRXAsSVzngBJI/eeQVh7
3VJfGjfCR14myITQ5fQPBK3JZDMG07DFew2BAqX9zSLn7BTjdtvJOCNXQgN+V9UQXy0gIY4+rn4i
KBZ+HArrl1xUkPHzxf/EtwPiHc7MvnbQQml/7r4ZYLfbJCBphqGOeU6HuHnFQsQ3A/xHnPwp4hma
SDuXQx1dfNvKTswSzc8J8faz6PkjRvTq85rhcolnVExdMthPulzUZ3B09WVu2MxWDDuGHX4iPHFu
NaEB9vXCrgOO3V61qOWmenT2TecUj1DgMe/ZCWZnh6R7N+aXCWRaIliZQicnkHjQ5lzdfSPg04B9
H8zRz3R5bkK+XIMFezdrhsk7Jeu+3gtfUdspOvdhWcMDXAsKkx0Xj+j2ioMPceTWRXexhZ0z/iiE
wfpIjjTDSyE4NOzmDVXa+MIIcLmJOmjsrUzNscU6urFnPjFsafqJYn3YrY5eMxHYKCM+i08IxoYY
n2o7FgW34pjW4w8bW+7RZPAYEpdv4oM4T49udpUFkHRXUhr/nOjr3oMSWcCMjABd0WwRDN6QA/1I
9EP3jZ3/cgNF3jw7E9qauuFhKPuuOFhFPXynf0Az5qK2SpMSUJnFtVUMlZjzrJd6vUWxWY4/ViLw
YSmMQ1218E0A/TVH1+b+74uReMckiK9KVbxOltLkTvTVXRL+FDoSI3QYVKIbAmidc6q8N+GY7osT
xxpWDPcmPG1q5Q99k+uWby5RND8Gl4KYESc35UyLNqd8UT4GbBhhLvqPSrpAcSbvjvgd+6nOVPvK
ELl5swBxEUhQLIfeiZs3WXnmOpeW92kODcsiKw+jbVhPzTtbLFVvM0lfEfUE6Hx8uHA17St688fZ
tDWVWZYvN7R66nOrrOLRNAMZESNrSAx+dnw1l3m19SfBrhC8sg0bm1xxb876b23pi3XuU7BsNWQY
fLGzAoWAMAF7W0d2t4NPV+mgEozswn8FYjgN37Jeu6+ZXVdFchrlUmNYHhZsfVKIiaq+m2Lvakqk
dh8lC79N587mmS0BkjSfvcbG9uZ+11EXHbgPPbEZMKnUm2YeOJp0fQtODBIwd9iVC9B6EMp6oIV5
tDx961ZtdQjTwHvARcvZGczytveST7EX31YM8da4u+SENj49V07xrDDcwhqJ9V675mtG67VHjfe9
SJ3qbNXJN6Pd9JwuaO9qZvqXphrZ13kYB1WcDN/tDPJlkqnrGbn1gemJfTUvRbSzTU8iTsAENGnR
f5Bjam6sqB3Ntl/iKybrIMlaNl8lqS6bNoq7s+uIEin5zFpNJB5U9GJsNmwQfiZkfYUb6dXBUUNH
2LKXfjR1kO2dyoqu8zRpb5SfTwc/5YHtcmrTzKA00lGYnBfDF4lmXJxFbQGxAPm5ZdEe7puJTFI6
YB5L0CuY/IMVUw3Tb/KyiLBq+5Os4ujgu4G60EHIcu9w7b+pdpr8rddF1sKanu9wk9Din8DwBeTJ
TG91E/cXaNSwhh2hzwkI8h11AX2HR77AzsTqG7htYs+9hHceL/DwMKa85lJnHkCX+N0j8iobNk1B
TNao2Z2nBa1zFM5vIfG74L6KmRlKwrCsLIpXFv0N/tjZN0eGgvRtgd+So+WFKbMbV1Ihyu6B6iyk
h8L2d245X8XOcIgw5Cxahk8tz9WNW6r2elpisrYcwQJnbtVOpilPlYIyWXSbuuEONAOoG8Aa8/My
kUfd5xWWX1WfpnIHpQuwYO8v720pvLNjquWpzVuyDm0VnSBpRucKDMN9VmBpHWNUo0XV4kV2yorb
HSJGCW18r5iiPgQQZSgODJLHpCc1VLQhCm04OVZULhuQHkgdI5l/CXy2Bqwe6eRjM2404Y+HLoVM
pZPqgTEV73KoA+csY2K+cceRsJAEE3uY2HCruePJoUjP4TjH+2iK3RviBNB9Mr95rIY5vLW7xVyZ
sB9L9J4ssvcdkO0fbtLdgg0LLtE8OD7sUAL/6HUd1tVuWty0arHPhPEErJpSv79mqy1fdR4ACA28
Kcg3zlSq69QkbHFz6M4/2qqqMDoHtT8TDCjG89IBW4Um0h+1XXqvE+uhDE1Fll9ciC7fKpn74sZG
eshYx67txHuNRiFOAOSYWgkUSwy1UAkegtQbvxKn0WwJkl3rgrZ7mOeh3DHKYpgaYvW4tqAAYptD
IhFw+1XpuZdjf8F51jAdnZUqNzCzs9Nch7Ha5hnxNYQhZacFm9hXp8WIwgzVsIuwRrH5KJFytoi7
srSXU+6p+oKRwuNwbofvYRZPAMCn1YAiCsULp+UU/lmXJWgBY8WPbRGsz0BBmRDEgvTyxMOS8+FO
6oh1uFuyzHq0mrbl46KxXkcURbhL0PJAi8L7vXP9uf0KdGVpSQHgS7IX3s6Gwd3V78VXlzlI9G2j
vrd5kCPl91I+H7Z0xhGzMc6eMtT/NBcdZdlaMNZ7ZyR2CHke1JfAry9lvywnV6BwqZqJw7jPmWWR
yEYOVuopXu5R1ViPdRLpl8yRyR0w1wJvuN/esuBdf4qo+yItn7I07rr1UF4q83PIqUmyKKA8AbvD
MiOK6++y9ZtxZyVA/xVl4hWDbDjlFWkhO6NQD6S2pV9wmvPd2Z1FlIqoenNMKh/1zgjWLwXZt/tI
62kotl5bIL94rtbyFzLzazCANHMUH0Emrv0UVjOpNob4onlhqF+zkEFhPSFbpruGOtS0sjwXTtQ9
/PMmwv7PegjbDxz6JTTqnEB/7yEAkBVNkljDKbEIkiKEghTaACYTEPSufyjXimaRyEBHvpg3ZXBf
1FPNxdaD968aGvtXDSMKyY+fBEEZY+Ug+lXD2EjsiHk3nNyMyn/rL9q7C/xhDRoiGci4FIQpAqc9
zJf5Pkiaap8rT56WoXlL4pobsyalScnRXNdT231hm+bejZkzP09U3Id/ceFojn9pauHx4EqWPkI1
nIC//LBhAGlptKQCtyXFZlS1/8m0PGjwYtI7C23MjlcRN5g9csczTAx3gvfUFX47YLQtdXOA9+Lm
n/9Q/6DEJCDTw1aMpZMwevcfGt9Ed9wjWaJOVSXh8iK1i3cKb8BlmYCP9aA4dxzNy95IyYsn1lRQ
eUvzGrCYJgljLB7zyV2dBP5yQtLbfAcsGDyEftLuo6FbMBSjAVu1INbun//k3n9yIwaM9Rhe0FSv
jtT15vhLM+vhmmpLgCqnGZHd1sDgzfddFRniRBlqtxkhaFEqg5+jw7o5A799sGznPczbz1PNJDTz
KJcsj/22bqvmZuwd9xXCQX2TLbK4FqKSb3Ap0vkGak5NVlWahufYt4sdRq3lkM080BVHyQkNhXcn
sGvs+7miXi0Jd6CAXMBQE4bpplTzfacnEIGcMI6rrUeywPxP7GnNz4pthYeCxkVUIBVnrO/61L1T
s8ILOcDIdaJmp1mmL0mKVXngrndIn1ScxB+1+lwv3QPL7/VMiZBeuAUFfVR5Ck9S5n9yZdHunTkm
Ckva4SXXHTWozcghYQHxwookgeDjOeVbL3XhXxHWFIyXNYeNi5SxB7BmNcx7jwRPRISgCkEOoZHS
xAV7zmApZuOurp0XCHFEYnXQR84BqLTkXFDS7MAc8R9iCnqIgiokQyLOUNMgYqDivv5ItApKOZPp
MVHTsy9hrB/HKZ84qSOi/TiE8TLOlPKoqcjHACOMGTQRJ7pvjtjQVZ8J9fO3Tm17W4UGpt+ydFxu
5p7GLSTO4avJ0R702ZAdMSPyPBUTd+Qy0FCkta9fwM6+BT3948J27TWcStIQe5ONNJVcu6iYwuxq
Wbj4vHSsx56x+dnmxfEA2Dg7xgWBmNvQIw5v8MLmnVVj8+4am9rQKR3mnHj7DrCvwd+OXHrTiXKD
pQOKYkkoGSwr9XmebXkWjM7fhrW3w/eDT68axmnrLuWMKa8EDAxOu0LoSLZFXgerUDsLHirZ6xfB
DH3v1E7z7qk+OwqXDqu16Z5JcF14AwyElH9mCTrRi5RkZgUZXP/Y5TQhSCvcQWamM4rRngbbxlt4
RpTQ5GAgdQ13g1hIkqtnrkq1lBvUSIAtM5fYjJR3Ygc+HSnPxCtnjtZXaAqU/+AZVHYlooMvkyFG
0Z4Ys5B3FF0Su+2vMhPUFz/hwvW8QI9QRzzW+GzRQ5fkNoBEmG/XCVCEQei2ArZyCjLa5BBJ6c+Q
p3TZZ+HSvhZ+dT/OAal3eqDdFl5yZ9cuwtsJdYvt8pfW1lo4rz/1jIoHqniGlw6M7vodyIlEtvVR
ndfzHSbXtGsZlrx53awPc1/l7GQAre5ZcDIZWZvXjPisegcvsnvAsso3A+4fYev6LoaQhq+PWY+5
LmTIrUrRy1xHon1jsMqnY2lwvSBduCETFsDBehs6MyMYbu9OnGbG3zcfmWlSme7hY+JTS26fasIE
SaQ7AOeKLpjs2wyFPHbvkuDmi47JU/wYD1iJxWVwOzpbBo5c+nWQt2ShORQtA6EpTX/24WJuFh63
mk14QjEyzczCwoTplVgT69CAEuxJARzRp1CSaUzm950GIZgSzwCJZmK3Ni98IgF5gCEO7L9tE2Ga
dGJEA4x2WCW0GpR/lHML1gzupn0NQRyCVOXdOYXvfaLgQSWo/FF9HvI1snJxi+4LBDQGZd4wdd+S
nImLEoN5ri0e89jpy7O1xvlJFE+r9sqJSWZiUgPAWkB3CtZwxAWOM2tGhj0de6q9JMv2+DG/+XhJ
zgWz27pJceUJ64cQy1ouBxZfX1lRLHVKgAr9uDUzRpftGtRXA69+xKFaX9oGWHsHzOQSIpf60oBk
O9kqYaZGnG19mSqZ3o0undY2EQOHu0UCTVNGzRuWBLanoosuU8A520xkQLFC7npYpwhlYGfjvVS0
T3vlU54POc/0ej93/XoMq7hRKI9LJpJRFlDzFj1/nJeouc4kBR+KXm9LXbK+BWjQ3uyQW8JdtPqu
iVF7T20iLgPdMjbq1/uncGkAOIk2pc/Hidfp10d5G0ZMSJOiLh6raWSK5PKa9KEOP328G8Al9Vc6
TNK7gCOfuRNDVJyXpFgmlserAi7bpYsoQ2CLOk8TzPptVBFk4zdUwsD1kQP5ObGQrBPR2PBFgpcp
z6YU9QX/Xn3xHB6cav0OUsrDVyKTsfJjwac4nyAfEzY2vpiJMhmOVXgRTek8sabksOUc+9KosH0F
S7Lm1nLsf4wEx4GhZei0xFwSG7cD6l1AWcdvuaXNKQ5JSFZn1yCX1wPNDkszggJRKZ26hgSSrRFj
8/aRVTpMzIxlFtMqDBTO0sdQjaS73fOy5+b5OGbngKvB5AiDWuMmn+nqWfYZp1r7CcieV3Mv5/ue
oc1zizLsZC0TI4tRjVxMwfGWjjxHRSR5a/ljS48nudcsET/OE/Myp5wrVLmu113hTGOIuB6V6Plw
+qKMv1tCp+CrRHMzJtZqnYx4P6SMTHgme6bT9RCYmwC3zZPsAv1jTQ0+oqQoNzUFntxm5B0T6d20
XyGTUHJ0ainPJC7TxLRZege+4W0cPa7aEljyjGaMR2UsuAZIJOmGxqn7QlVC8q3G18BLWTQRdYv2
stvJEhyy7FLHl6aBmBsZGBKj5gs3IdT6wmGk/vHLjwfTEDxmI83S/TfsBdYjyQcuUmRAGLPD6rBK
STttAPDtZUZVmQQrV3r0uLNd5FXkannZctP66KvlFCAHAoqj3aXx96migf0YFAfEtroOnSnCfcIn
5o6WDIKYPjJI4BOT8FDmE8ph9xVNPDl+6yZmYKCy14hVWhbuOrwiJaH5v7OEvMm+9Y1qfg5/Xzt+
rNL+3En+P7SqlJIX+V8q+/8km2k1DakfP/66q/zjT/27acj+ja1iYCPfpNH70zAkfpM2oy/fgcYk
Q/73z0UlqU0hKpaQyaNr422k1/rDMCTd39h/fYBYQg/MWej+VxaVbvBrVxc6dHLwjIQtfZaVv9oF
A9NLK53w51sjJoT2iNqbF9oeez+Q7KFic4SUKnCmy0B80XZFRO9sNctjkMTBqauYXDHcRQmK68m+
VZ3rP824m/d+JmpmAb7izO/lvkL98gUJfccgEhbQe5Rg13BawRoo8kDspom7J4jlu2ZocyYEMjl6
WZ3sfJgUsEgLhKPLoI+GiROiMGJocGjPJEVig9+WdUiMQ26aL27bhe81stSznhPKo8w/aBUEO8HR
uR3zjFILuvqpNln55KTUwDSxDLc20vGbL+RrdkdntJYrNbJN3SWO73+NKeZQrldtCZelT5KbpjfD
M+x6lo35Ih711Du7moaR0I/oRuSyA8OSJG8l3fwmksWIaFXjccjggcTE0R57AAOnKYNogAz0oWmb
4NzXTn0AMWY2ix7tuzqIeBUUO6+Zi3srjK1NEHN02sAS92WCmVMXnfcJYwAh6Z0rtmJx3UuUz+qs
1WLRr5IuRdtnsUBBRF04HXJQK192SMyam85PA2QbpN8yz530k521LlwTL7gkEH6OLkLdA+5XevpF
LQ+wftRNkFkkUWnnyZ+r+ZsptL9XE5hR1PIKvjJ8hMn45cHXzbyz2tk8ulkefNWgXtvavAHnVEe7
lXgdxsQ5Sgfn0khFe8jz2Gc65xfmhtym/CbxSCopQ6AeW6aFcPWrctxlaRiCSuj7Q+cDSjXr24R8
TmeThEOJJKiPvoZ9Pf1M8OMfFgHYZ9uh197z3LgPrplUeTF5+5xqO4cB25h3C9ssbpPFEzcWSj6Y
NuukCdJayjCMsrpl7MzGNgZIsRThVSz8+o6U7+amnOzndLYQs7Ir606hboqHuemsq5DK6M6p+uja
7YDabNrSRbaZ2VYVnLSlM+QkiMrxA2u3KLaLXiVDtN957YwR+tpeHujzQvYEHSVU1zjVyegwpz4k
/HBDc4o0GRoO0PZpAZadd2R+KbvCPuos1b1leafII0IshXB60/vOO4mzQXzBQTOn9FLlZx/I/GPV
eMfYCm0Lb5B2Y+dYDjIvgs0YTXX0jfVIl+0TbOp3C5EO90o7YfUtqmUMT6VG2hsO+tlrZ3nfh4Ry
a+RowZMbq3yP1AXCZllHV8CdCFiLyHE1uxZJz2M7W1U+bTMzJqfWBUT87JTkOYFYFSwK0x2MhCa4
qiGkKgvDFRiuOw5Krns1UgHGcMT9fg/PQrwS0sXyWbRWcouitAo+Cw+Xdr9XnrEf6jnS8XfCWxW4
3yUCyxMhO3Itdy90g58nJmcJJJJG99m7drGdR+DOGzFE+dcAqI11ooFjTe41JepJkBJwZUbdYx+O
Z8SyN1NSRS+VaSGfr8EWIPWNnZztdKDFr7tpvqdqcb8bDJXF0YnnsT0Fpgvq3WhlRHiw2Iujfe0V
/JPMFHp/U82C+iZZGjTOqqTsEhPzT84+/kXE79B/nEgxUwZTkIM0yaK6uQtC48DeNrpL5XBdQOER
hG6NFsLjOUj2gkHA3YzB8uC5BK0JUbKqYfeGPcgnAv2pnBhV9L6lekqDvkNdW0XTMXelf0PgPCHI
WcRzP3vxzivKVc2tJbsu20mPdQBqvkn74r52ysvyQaTvwcRd5tQjSK5tAzqEwaWYQuzDQzVmLNV0
re3NAAzqijwHrN91vj6rOedX4md7GLrSOoiAkLqgZNrlk3Zgb+VEJIJv1fVtkGpk/2Pgs9XsxlfC
QxwkrzK6NisKquwQOBezmxyHfsDPtSyaZIBKLeZbZ7qvvKP6W8IHffJzYmLD0fiGG0d04hNMsfgw
ixw9r5uoB4ZVMS+HmtYUl9RdM4TWYU3HvBprEX9bHN+7ZxW8U6x5zhyd8QnOlvgC1jbboYcLX0cb
1AicJswmOY33NWHOpBJCN9kk3UwVB633LXWkfeVRu926yXwYrJoAAWYS+XYA594SpyHJjDLxcu8T
8ER4UXRUoJ+fl6AZzsYf9dFmBnL0iPnokH9Pq07aogMr0WkEboT1pZ8dJPOSI56+FuJGLxFD8u9/
miOioBwb4FDixOl9axIq4SUt9ixsk6PPBzgQ8sRyyZ7clKNxcb8wGgVBPHpR+z5iQbqxg8X+MWqn
OXjDIveFHdsnn+nY5zVueQ+RDRktDeUhz1qGhvVQ3hZi6l40z+GN7of+3vPs6EIqU71lZZNfGEJC
2pHpeFswqGHyVvqnchnfupB8AEKv08+YfwTCaDviL1E+lcA6/tBhI7ZNJcWtmpkqbTOe/HsvR2KC
5Kp/D9eRPdjhnZyX4aFX3joJqEL/XEUqeigQqlzbedF8nVTSkRuCA7IwJFCmIvkcQ7jZsh6H9V5j
irWAq+wz4nnDjbCtL3Mdiz285/bGyzJxLUmzY6jRJ90Ou3S7c+0UHclsD8+Wg2Ryp1WimFZCt4us
qSGxbvajLWQYQrqwR8G2SRygBBXJjj7Idt8mEpLnPlxkyEPdj8MO7b737qx6DhS8ORJKkXMS9D1G
bp4q36TBJ9nnYcIrL6nQ/JFTx9rk97XIf7fI8P+7+p5txjqY/99LEW+bfkj/x5bU6zKr3/9a5P/x
R/8UJPKM+wGCexYSHBKU7H+EsIbub9JZYQECr/3aBDDp/zOEFd+OLSnlBTGt1JR/FvryN36rjdYb
JaOwI++/pEgM/gHhyKTCkVA2vbXfEMCM/r5uCIq5IyOEsO95CGkU7Yj5727h4WBQMPbgzYYRyRh7
7SDF/oM8mcbWocNmK6XISXEmJLcHucwVsXIeeUEnq2xs7HDtyIO0EakkETtjTkh/7bLtX+lkXglk
0eVtwpSBhSA2H3keM7IvifgpLbLXCA5Dy8BMJmJT8Fqv85FWLHFP1BAAFoy6DD3t1HGp6kf7tgJu
WG+bOlkDLWGutkeHmSGlQGGtf0TGSPeKPDP35ORwkkjoCZupFQwsWUbNjwluppcqs+ffJ+FxwRwH
D84c9NAaSTy5ary+CVF0B+q7CnlTl6uAhkQdcP02cSoZLDayvAFdEXldrJg11CMur3XHSfoT/ZX9
RDPnvQcOoLemsfRJjqlEsRBSKEh4aEqKhvKyUvZt4nR8/pYm6iX3S/7qDqgMGzKSIxRWtUV9Zx7J
FajdhjwSVbavMu6oOmbZ89vc2W6uqeq8d5OsMBpNHufJsxFvbSaMZfdCJszD4pQ6Q0sOwo0fzXxq
MqQQOxYShRWqPBL+So/KVE9C3vrMZ69rmoNbiejjEo4xOT1Thk8uzsazbCJwXZg+Y5Ir1uuJlQG2
TMW+yN9xX/Nffv9CS5EUaOshtb04ev2GR6Pne75SpUhRZK91mdqVJUiiGNQ0QeJR9mBVDh+hQTqP
cJIwM6QVag1690rNdZnyVYpJ6c26fDKuRbKBFSQruK3yMGGCQBWfex/5xqGsFqJGyO39mcaaKyHG
OnphA/FIreAdDIN/l6DyDHKCo/IHNCrkbGIEs7BRV85T7XIDYhBa79qKG506Q8cH065J9AsNWLJh
Y8jPRsJV9AJMDZSfj5mQQLSRu8Hp0XrR8A2osiLjSSwFNvVjGQQDftVEcfMRXZbu4tHh0QsmlAm8
xtd6bWjt23TqeAiDaOYLJlGJlgScPezTIqeFuqpxWWTbAuJ7tR+5RX3yFdBCNm3ku6cPgqrFAFpi
5ZX83NmiwVNWBbRHKdb5fj1V3DGxzZx1ntcSkaxcvrtxvU9MxIJEr19RKHEwVJ5mX2Ir/rKhE9mR
xVq0D0i1p/Eeo33rsmTCKBK/fNzCmRVwfQHZXzfrw56vN2nsj1AmsUNqrMSJuZ8THoUKhiR7RFKQ
YZcRNkoTyIUbWPDLbVuG3DA6EDD/ap///PFIoBbMjpjtuHg4aPmyBQcHQKHuFedyf+q8liLZ14gN
3amJQQUL6uFWwdPb0CExEqDNxvjeELe8kBCGJ8ybxs2UVXwcwcAuUzNfaCcMv4sFLTcY8a4Wnnfc
wlgTGVaPDssOA07Q2TCikWfQnkzFmZJfFnpo8E+Z4W9ocOBjE7VCEn90QMDHfd6NdGhWrwznKYn0
O5I/gpMP9vMABSK6UC9a9HIpVATWa3xeOffJdFhA0xJtxUOBRahn/7ChPJgfK4cZ/KNRc3uT5Jrs
aDq1ozQ8yx/EvrAuwJKyY+Hvwb/gnosCLnTOwuFJCMSMA5RPriBECfqxjt/kpEX3WiDBOkXUb8d4
SJ2nQHLPg/aaYoR7eb98UkCXXLY7LAvlwgeeixV4akXURztGzfZTLPCnXCVNAJZEkn+dXlUxY88c
2e5Ru04BX3HiWyqz2H1XmcPRTCPCPYUAmRvc+Iwst70CByYIMMFZVjP07bRhY0AihNkVPZ7vTYWk
qDjYaoj2H2u8CV8zDRTi4tusiewnUor4efIKIuN+jNY7B4tjY67ovvnrnSRW35MCOleWetzdH3Pl
9d7D9Gnn1xAw+pO2ibw5fNzzruPyh8TAZ8biuN7/OvDtW52N0Qu1LKUdykn+iXGyu+EBCXwx00Ao
zrdeUQGWqVzvxzXmbssIKiKFeuGL/P1Iy5VN/kUbsB5AiBf2+pyHqoOhBse137e2Zd+7Pk8Xiqgo
3+qJy0v3fvh44qoxdF8mQjRQhHZenxJlxcnakFvhHyfEoC82HUD9MiWJKT57CPSybemupxSZx9nR
TQfvPSrBdLIaqR7sVDuszurvdTpH575t15dBx0gFk+66HELjZt9Oi8dBVlI/6G1IYh3r1DStbSbs
JjUnjh/JAhjgLyXEJsEca7M5WaLrqlbENjgBEmwuSRaVD0te/sgFWopwi082eeFVCp9u8Cq+olrw
1BR65qzlmcTbwxED7HZyvHxLK+J/b+rqpUns/iqKZw1m34QTox1f9k8oQc5r5Btxun5dPmUmaYEN
6PDergMR8+yS/dt3sF3AeAy3npDNNVaXBLBOkj5ncHVKQsDitw6JjeU03UXBGNz2bJBFkPMMbHRl
V9Z0GgZzVqluYVFEfRXfi5Tk6ygaPpOxeGiJtDhYfhDds3jb5BUADcf1xGfGYEwpNkFT+TFb2qbi
VF3pr1DPURQJ7cDNbiu2Ms4CNkQNDHj8zs1J3mTqY38MgLJ1FmS5hTwUHwOigFGRWGdGHuwkvPHB
hN7QqVu8csbHVnuKuC174qw0YVR4+CMYh+5yF84DmWh5xGsOAfkp+xhcsaB6dtdZlrVOtbJ1vhWs
k67SZv3sp2GzT9CWwKltySNmPKSvcSaLmwDBAjg8y5vfwZzlbJWrZzfHXn0pO+U+dAUgFGtQU8gu
r48O4ShHyJlM5tJ1RqcmtMLLOrfr4EJg7zQ9zIc8OmEkGXdmnfRVH0M/12VIoAHg3hCEk5sbrpf/
nTlrfVgA2vEezwjVzqbnaOU9FRnDhSCe3oAaM/hh3kjnax5Tz9Q7G1f4QRar5HHw+gclmKsBB/L3
9IcEwzLItIA00f0qdUPO2EJeNP6OJtAVuhuslTH+iUsbZe4+6dRTF+l/Y++9luvWsbbdW9k3wFUE
wXg6s9JUVts6YclhMScw8+r/B5JWtTXdW651/nV1e7ZlSSRBYGBgjDdQKlWvZdO2aCpcHUNCFOzr
Nf2fehuRN5z3BdBjq1XGwQmq9iyj1ndZyQV/PFRytrShAI27EOSofvtgSVEmT4lYCOYU2Q1cmY1H
1mksmbhmE8B914Z3GPmGe5brGjElk7UsJUbi1HD2vt4h5IxuzgQc5+BkvDBkeIyvbTjBfKtVcLWk
zm2fII7TITJ4l3FyvKzmvHu06FBdzq+lbOO1rA3p1v3WvRa7Q8tazjGSbmD/dtUX4LOUxYuewgfz
28oeLF03RwLDOJouNSR2Xm+T+Tay7ZDa0wq/+NH0vBcjK75MRkM5XiAgsR6UancG2k/aKhfc36xr
+Kau5ju6rk/wx17NydmIILKdDSV2ZroPYHX4LgvdGyBaibM5VfIlVCbVJTrM0xcy4i3ZtSIT1D2G
WXcbOt13QAFWHIn8qsAzDfcmI7G8g6l7Fei5zJtW9y+cEQmPSyz8PNhBEh3mnkDiK8auc8w7RDRy
KppOrmZycQjG6V0SCryWRVrY+cFb2gEfqgxpYSz/ms3iixoBggFZgQhsrsJsT4b7DvlkApNKXCzN
+vHJAHYK1MwNLZeWsog3kEs5gcTN1sP84CrB0Qn13m58QgQhP4PDRedAgW6l47Fs+9jkr9jk7gAs
m49jNPlMcdStbeM8cXTiRyAtkuA7wLfoMmqKYzx07X+0/tBFofwrjPVQpyEbuC96y/yCVg1Oy6hr
hN151jQzyiRu3ZtnOHQF3bnRiMVCt0imwQ5Pir4Zt6kwyJyg3MvwOsSMgmx2qDiGOEnlfw1BbakD
NJGxngnfsxkgEy3UQnMoTavFWVs5cl9oTRvmGCECY/byqx8X7Lpa5MtFEkSD2pDodYqLxgR4sMsq
Uq6N6RSdz+yxArV1enLQWMVkW+XYauV1wOX9OmmAzp2bYpnuZvjpD+SiORrvlGRjPKHqt+bnG73x
5o249yvx7DeYpkC1RlPOLBSQOEafIPX6OKRs3CUpbqAwosHhVnL6z6KxC1/seVka9D4CspGqdPIM
3zIN3vil5PA/buA3yVsO7z5Kt3yAWeUuNP/vF6wg4CBRLVYXHZwJbsEqLMFzbPoAv/KjMNo4ItkM
630ikzhC1C1cym2NntsxKjvx4Ju9ONqV7kJ8flf/Y1gCCq+OSdoOG8E7QdKWENiqOLWjAx6tJOmQ
VnBnRIk1ICOD2dIlFplPXywkR8YQ1V8/v/qrwOcHkiXjAS5J/48UXNgnbMQSfFNfAkc/OHPOUSgV
zVyz4zR+kfJC4pmq8iJHXz5k1IPPhE6/S5v2zMVgN7V1bbsztvSU5LooPnT6BI3fKyYubehwhik1
9PkPN6zH4+MN6y6w4yEBaZqeOB2vIYgSQxp+jqrSgKRYME99C94kq0maUHJt0C+leeVObfOCfsx8
13TUKmiNUgGoJnVXlM0fWKPitPkbCJccyJaUxZEvZhv+OK0MpzGWnrwBdQODtNE1sGWAmYTfACUe
ZFMwIKCkYAEQsmlhn9UD5ws4TyqnPs2WvG7bWp/BGNnPh0r+rxtzoTe4tMFd0zkVd/UGs1aFauJD
7UZkqBGYirwHvjMqD8/MRLblfY3agX02V6Stm0lWbXYOqGm46+0hwKR1GIMn05w5LduvebHA52yP
qTra/fZC+g5kmJw7xDhipXStpwxQDN8Y0ONJTT01QZOiMPjj7VCaFON01y+6ClDO9XQXhwnNmyFd
AGWTx70kJZyscml9fOmRL+IE9PlwWJCjT2aOhonbgEttSoiYD318TwDvG1ppnrGXMX0uVECWMj73
qbUzZ3RPicAfXM6WPxj3JS6ry3oqYm5rTvqFhoDLaEVScDpxFuBzaW7zfxks/pyQvIgQT+RIKa1a
v2x0LqbLfsR241DR28P4x0PBbBuhxXNY5oKrO1ZG8YbO7cAM4UAAi5vy6v9Vov9AivcJ8L9Mi9+A
Jpuf+cv4oj7gTN5+5r8VaJOiFXByGzVkyATQt98r0LDlPR9qO9GSOOlagFD+KUAHf4EmAZwBasLx
CKOEgH+QJv5fti2EY7ouzatXtvy/oMSL4Lc1bTrU2jnkE0AQFHdP4nWWDnEqlqA5cHSJv3QpIm8b
t5b4jUxLUTEVVdHt6ma+ySv8z9Z5PKwJo8Gadky9w4CeXuIiFwHRuse3tUQXEFiYOf6cOgRufX75
2g8lIIKouylBOKxUDwPUANIo+wSZOKwn9jM1MWDugTuvGETArgVisG9EYdiNxzwF0LnyISAfvAah
xHWYFuoczEC2QacGwS4Pw1UQhs0KAWx1MTUKz7RC5sDMnXQ/cnMWNp1ufQa1OjwjR+3uSqwVzjkS
P3NkMr4keWGwWEuiUjOV+z6wIjAHtUQiq62vF3w9NsXU3nJa/YHSEw+J4zkFaOsWZf9sF1Cy31Bd
NFYpG/ueWuvf9P2ScWUG+P+U5tJtnZoTI+VvrEUWrh4P1q0rJ3OVeN1VByF91VvWbSL8h3Dor/Ak
LSlolvdjs4jLaUQDJs9KDpg+OR8gAM4NxaXt119CfALWi+im82yOngOOty6tzVUu5W02Z8+Npgd6
VXU/Uaz9ip+SuYGoHHNCQGm0N8FYJglG617wMEnO6B4o5SwkXx966PEOvzpoNKBo8QABZAYqPogw
3hOf86cKBuiTmLBClvhcrZsolHAdkU6DJt2sYrP4u13qG9SAgMWTEXdAGV4qW6gHpPCoGichpRxI
Flua4PUNrfND6C9YOjhdc41krfqCAcqD2ybVnv012YsWZVM3xOF5AYmIE5rrb1XuP+YLspMrW46P
6MhH53ZRtd7ai7BDAs6CA7GJxffaa0x5C15VHoukicVmtOLJRwS5WbbYm91LQ1BFUqVCr6aSd23e
BbvWx21ESoDfIStnlWrOAeaWyB0VmJHsqWNAP4hqIVZRMlPaFA5Ac39wKyQsp/5Ck5j63agM59HD
d+fCLlzzGXmvYdPOXbLGHB3MDEZDVbUTvgqxWZ5mSKZz43RnVQqIEv8IMOj4Fy3G3sexJfx7RnDr
KkcTi+oORtXbnK1WrQQFFPxlxf3/BfpXDZU/BHrhCuvTSH/xUrYv7a+txvcfeQ/0gf2Xgw4Hvpe+
Y9uBJf4b6IVp/WU6lKSBDvoC2DxB+B8RcuLtP5Hd/Uu7RiCmRg+TBAsHjX8T2W3N/PolscUTIpDa
bJNsEhyjexrZm7Dz8zSa3IsCdiakZ/DYgLIFZtBoJregppqVZy0hMJyskFV4rMpZUHZzTEMFIFhB
h9/nVWMaxXnbUuWbtgbIKDs8+GEP6aaXA+wAKk4LLKAYCpi3K9SALuOxM7MEnvJsebgL263hdhHS
R0h7X5Lit9+zaLzt7MQL18IyIBnErrfLUWOfd20DhMFa5nvDXwh9SweYe90EojQbIDhWuuwtodCP
Kye4sOu0NRHg84ji7SFv/L65SY0wu1dNGHxt80XGlLObXqtowYJEbVLF4ZbewxdDunbFJSh5b6cg
t3C3RdGmpH5TFltZJf51xlaAQqQ3boygGp+TAd2sxelA1vQUpRIVYxHAGR9V6UrGBqu/Mup9thRg
n9FDfAZdifpBK61Kqy8H36vA/55P89E3sQxHyraYz/gjvBp6V14nTmIegsAT2y6VwXqSYPNWgwya
2z4Fer4259ncdCOw7RVgZbAHVV/hxmOHbJajoNnGKa+46WkkPQHHCM8sRMD3CwLHt1gHz+cGlE+1
Ql5iMlYhNWhMCdPkB/PBuU1RqJD0rizjOi5Kfz85Ls3QahKXY9iVD/HiJfsFSN1NBT1sPUxRXK0x
17IA1QzWf4wKOXMqpZa8BrXebwJg4OvC83CeTsRygXrYDFKwt/stfTEYcex5q9EI6VWzIUM8Sadq
PYfN8mxQ/Nph4mrsm6RZQPtby3cTpTeEJER9v9ANOvZGU11WRtTja7wY8zWKu+4gxG4a7M6CSf/P
Z5dZ9hBfGY5V1xQjzMLT1mID8gDqPIX3it9jEbbAdTYeGt+UUyxl3OEG4lMFG2Bij4gIx6Ewv/9f
RP0lon6v+rLT6lRRUpW/hkdLCyz9/0M4HkvU4n78f/fdS/fzQ1h9/bn3oOoSEz0pAW9odLXOkv/J
njmo/+UIi4CJT4NDfOH09R5TPfEXJB48ZyFyvgpNvQdY4f8VSAuUUyAoGCGZ5P2bAHtyGtZXFBYc
abi3ni53nNafcnS+S7r7DsptYccR1qptujeAIodkoUHV19kLia7TIrQ9t7O96SxcwSc0bUPzW1Qq
m95mZU2Zdx5QIu832KaXzWEMiry9yp2iNuZVhfB9/c3JOlbLxnDdPIUshWGr+Ik20Nzf5TEnxRco
VnX4XcK0dY/g+RoS1wIVDm7Frh1UWmIBoQjYd+6ojJb+6BTFpQASqU/dNOzmC4vWXvo3QuXasPGX
V/o/SmQfj8gcis0ASSiHJp7L6wM2//GI7AGK7WPaGD/DsSrT5tBRsbVZ/kOrvAMwlw6JCqhyefJ3
boZ0JXefX/6kQsf1PQ9MjQW4h9z/d5voJZV+65pu8iMV8F1Qg67AuVO7DSwDXwQ1jfjsbFQM3SdG
+NdY6vJmtCWGbGthL+4oz6kbl1rmmixdiSNCGjQi/zBGH/dpm+OdRDmLKeTqUiLT8uMYTXFiIMIk
jR8u2tamtYkWL/KaHXWUTiI9pDrXfc7QT+zOPh+ck3ejr8vBFFQUpULIC6fXrfu58ipD+j+imTnn
rqju5O2XGChyScUhTfoEE6u467pVHFeApFafX5506Jf0RD82xVsKqBbQR99iDX187MgZEsOcYvmD
85sHSdwZTdd5YSEZJMJL4uVH1EkrcSWzZu7vsxZEAF2VOMkZlM/vhHP2xzsBIYbbNudwUFiWI09e
QAcrIp2zMvweBkvpqH3VIOY0b3GBbAO0mWhE8FY+v+TvD+97PvVZAGZw5eF5fHx4ID1hjqOG+mG7
I6t8Nwt3QX3JUSOKNnBSQ9t9VqCpLCyzXUzDnwE5AwfbDkll1uMfJsJJwZFXgUCUzSphoeLQ/puR
WBTQnQrqzvgWA0wvDLBodHxikERV3FZ0v1PUetZJgQ4nspAg47gr0pa4vy9qN53hxoKLvQ+KuFAl
FEdc3e7oUZXtt8/H7GNhm+qJkKZtQzjGW546hnsSS2g4+nQjlunbBJqVSYCTrclgmdMoKSoD2qfO
VltZoxdNN1b6I6mj/t8OFj5m1Pyk6ULyoTpzeht+Y7Xd3LqVlgc3iOEp0Qtj+GGGa+pcyNAh7rcR
ePWXInVKIqqq6UQ6B99IIfOsmphoqyP/HPNTJWS64cKeshpU2OfDpc8bH6a10IPkkdYDYqXIc6o+
OMkRI9Zykd9amlwGIhVdW+f9DVrmSV3C+ZwBu9G8Lgb+rZqbosIEJFtm436s6/CsRXIOf7ICJbD5
ooibEltVyrEuftk9R4T8zsUjc0EQW8L5sdaWkc6iPDeXAIDZOkPgBZW9PzwQx7EPD2RRRKB+5gLa
c1xK7ycRg5lZolYz1M+eg88AFGFOYkxFdMaCQK2FJhnCgJnfomcO6KXRTTXCSS1CPD0Q0e9gYO76
kdrLnxb0yWmLMEq2gb4lmBWL1sdv0wIl6ZYydVU/14pV1GxlSyv2CsNN5Bpk288MRxAO+fJUxAjM
eCtIG9Ab1wT80b2LmiU0MCpEiuNJGX3rHiHh6AQB8e8iD/ZZ7+jXU7UyYApRc3aGu1ql2fK05G6G
Ga+Z53rTAuNh8IKqMkDsmxONIhPxIXjx7qSTzny0C45Q6Fg4rWx3rtfrd0frNCHBgDbG5WlkGeh6
+9WU8isAtZjceWKUOjfoavhALxMgj6beBYMSA1IQ1dJdAoumkgEWTlnI4MJamg6Rzeb6tfTL0H4a
zAHqzdajc5z+PTQlILM/zI3TEK795uhlCyhEFFQ58n6MpzKcy0hwBnleRIHgOUQc9LtaBItSRC90
z5RA8flsPI1GFP5xmxOvtVv27tMrtspsY0jb41eJPAyTcextHf6s1svYvF3gSO5zmMqFSTiCSG+j
q9fysPrDKtdF4g+LAgIOYpVsXBgigLORJ0++SOp1RuAWT4VdFp3kMNo7xs+qiRuiETJQpdiq0KuS
m6H1IyJOHQMTBlTSWaip+Rxysf/orKi5yEMfxSNJaQ3vj1G4wx0UDJxMEGWYwLVOEz3v1LRDQEmc
PoVe7LHJPET7nOziLEyzTq/8gerHNZhqj+6zzJSc/uQweBrXfO10qTHZ2N6Q4v/WYczcMMaktvUe
kb1DfnDrKIVYgjVwNBxB3FF/OcRiBNaxmuBF8xHhIq5DnVvrKQ2+YLTC+xDwB1+0mmTBQCupLalD
ZLO0mNo3+VC3nH6dOWPVhSOS/hhTzn7B6vQAm/2pB6kLTb++RJ8MyGfbJKrphrI4FZ1pAOwtFeyz
R7+LJWuro/zMDXSG7PXSfV3HdC+h2u1CULcscWKlDimqbthojFiQxovJ0V+qGiyuX3LgCQgMjmBp
OQPPY+UeNRID1j+QcH4Nug1uu8sMD65bjawZQt0z+wWP+/kyOWmSgasnJErboriGDi59spMmWYdl
kJf31fwoo0FHqk41TC26YUn1vTP9zMKJmBr48uRZCPJlq8KoBC9kcos8wna7QAI+2gXS6MdHslTF
cCCcJpl9cliIJkjYw1nf22Ne6+jWEzYPiVWPhLWOjIQLJl1o8jfOWIKhKCKboeiwozU6DWZOWRIx
tSX+9jY+OhRmL58PwskaRflXkl15lgO7JsAG8GSNinGhre02xsOA3iDR4S29tWJ/GrI1J8s4Kv8U
FvSv/G/xj2GneawxACbbEpX204OXmSKe44Kif2h7wQzp5q5jQrH3Mz52WtuVsw1Ho5oAmeVYwgEM
HcKSlIWgxyiNasq7G8+lFp7uws72CQYsyOFO5QBAX0CYs/BBJrFRvb82CAslQzmhf8BaYRXp1xFl
k34RRpoIPoI5DYY7s6JQj4ymxq8+YWelz6mfjzZ4g98eXm8CBAmBTeTvJyrSwRbVjml+iGPgf+Gq
64HXr8PRDNMjOD9bzdsmpiPkrwLLCqDNKkXx6dzMezk5K2DMjXGBGpJhX9Hpwd6gGasp+g5uEmW9
sLdd7NHKKv9hp/kCAKByC/UyLiIfr+1BmNOy8dFAwM2nIX9s6QWMjj8caZuHENTcAmGDS2kqEaDH
rgKxTqeuV+BSJ79ZMMItB4XHQjRRnctWw6LGGckZA5uXdEfNubfv3byb7WhtToJ+MKyEEY0O8je0
N8+62CMzW3tLPi4Lx1qmYn02ZXPYr5oW3eTdEHgRjjCFMS0PyENYyRPeGFG4kRTScAThfFrNaAF1
bbAJEmvMgAfl0QHt6W7TVHjYXNCbMs29GOl+7VCM8GNzW+MmYD9iKB1lxmNQmdP0MHWT7K6MtkMM
jR3D638AkHcVRLohKqtVXVUibm8DDCyzfZhQ3dgtle0X1QoROGkhVakWACPfRJH65Y/Yqqth2jBV
5uZn0HfjaK4BhbYiPaA41DhwvTLTyd19WBiZe8SJ08iy/eDWVpvHP2OowB2jPMH2UTYiydXAlF6o
I9fxLdz7zjW3ZWnDmzwDf4XZujbRy5pomw6ovQ2X2D1FSbILUSjunbuwRNz1zE3tOPJ3zBWXzmY9
LCbpZ976yYgsMZr1DUJQoVqwphhBWcVocicFuw1sgRGTqg0GYr3zBSYKZpZnTA7KoutRkraAba7J
utAInsGZu9c5Brt84P6jv2gkCahhuoqc6tV6qVq7+bb0OFQO56mr6sg6iMkwPARpUwdd2v1UpqJA
DMce9L5oOkbC40TSYVN5mcIZUu4ahzEIzdfzWI+1d5OGRjrmOy+ThlWfZf0c+MO1m0r0T1dNEOia
hKdwhcieIMjAaL9AzJeS/daYG0L2FVG7iZ0LQ4YoxVxCC0hEfgMKLfXD7ZgSCKItXoSSeydk6Vua
ByNHdhoo6Jw0GxNTDK3q15mGU36x4P5wPZwmg+Cxj/wGcDrnYEbW8vuEHWQtAPTxS7h/UpYVMpk6
p7dj7OE5GMSilO4ujUc9YjLvMj4wBukAYhSeDvk2Ci++tw7GrmICLCX5xr4DVMz31W+PCkybij7y
sdS08ZgI2pCr5bHQYA6R6NcjaorVzn9EPulxLm3EirqN0RuKV2GUGVJhP4GWBpw4IA2Raa1HH7sK
pED92MEWmSnfN6iFpWWflIwXlhTVXjM/xXTlp56+5YQ3XS/3LjOLK0j+qfkWGpOeYK4C+z+cYz7C
1/IAiVHUxQekAhO2WL8ZuYehbLns+v15lIJQ+o2CW8zXnKmu3PvMscNAopMWUACC4wGA3dy+zx6s
GQN+pZca+uHCbn4djJ5Zo9bvOW7gLI7+m2ydDGRwooz796FGf1t/+z+D/PZ9VAqs7MqzaixSYW7R
EfiWJW6dqH1SypmHbixobLApLRlBReYAHlXBynl7UdUydEw1Tt69is5KEcyho63Ch9m9hkleMUqD
VeR8i1VTY1NryhxIaa8yc9ZJL+qbwBaRH47M5lvwNoJVzQoirr09U2wlnNFAfZfuKDTbX5/OzbdX
+zY9aEGj+ryFk8VPbB0v1w+P0C6+sDtQ8foyMc0svjjTNfPix8VI7L4750mlHt63ibRA7OEueUj9
W0SiWn5Ogk5jdoHW17f+NqDo/Cz8pcplZXtbw3TKLD1bgIxM9T4yqWiZ2zHpEWpHZiLSlY925P0m
g2c134QblUyf1iFj5eEVgGz3GlC9vrnKGvSHPUQ+H6AC9HIoUPPio+zdKB4f+zzKowRshkYuxY0U
kTxg4+uJ7kK+zZUkbYPO278PeZAOituZEpnxS9gBKi6e1gkatHto2YtrPpK5pT6SOY0B4mtttlHI
xYHPVxyZurymtoksra7c8Jri/syrIr2cUYzXhZ4M4dbU32Uki/jGyKDNp+rQ2ZUJszBHKbQYVmFL
2/1MBKLn++OuafkgaXTyY9H0/Dkjf+Y+OyYtM0ge1PLz45B1IUUBoFVcXcRRNTy56BtxCkB0Qc/9
MSCUp7tJNmiHrQDA4wq+zQu22GI7GWUYtGdOwFY1fTXdKSXeRFiwZZgpv5WT0y7HWG3Xxznn3e+z
DRtOHuoU4WxzL1/XTFP5OQPWhmMWLk8SsP/YPTbwkEb3gGaifvQpiFqGCD7kkvFE9E5bZ+suiHvi
fqBsPXxiqvWsoV6lp/hb/dRvs5GfFr2ln7dLEosPxQTn+5GYdvhbki/UlQOYQWWwomQxu8WVrIXi
O1yc1JnUg0OX+P69yLII8NfhDkULFWLES+eO37G8ld5CjuVUDRE3w1R9H4qMo29RcHYqURumMOFc
gGTW66kDEEERPsp8tAI20tUijsd2JtLgUSxdPXh9InWpwOr9jFp8mpcRPw6qkaf8OpKehcb5GLZK
JUc0n3WRsurZ7q68DIW8DnWRppjxQwpTY4537lg7ebuhdEGzfeVRBHKfbSB3HMnZDANe/mJAjwh3
LrqJDGiBtSOjpiwlmHxvIwlvi0q0TMxEDufwcIrQu80gPxg0mpeOqsJSY2v4TLxlfhljvTACKWAr
PY3q0iD4c7zUVSqoErqaS3+nGutnaElxI77ZE44ZR9dt6jnc2VbVdsbfYyJSRKjZ0WTurFrcvWFD
+rnwFLUZe8y6BzNq0igCnjLLGFAsMpay+REMCR6lMA58ShN7lfVDgc2RtbTZ02L3Fmh/uvYcOFYd
JBhySoAMAW1jZnmRBtYaW4PZ8DB3G+lMoRnz9iRv77KpsTlz1o6Dmj6P9Rpu8nzQ8S+YIx1NyP71
4k3aQn8HMnqMWZha+muOMA2+A18l/Y2hpDoBY5KWov7+PKxZyhHZYnhculnU2AiOnl6VQaH/5X3K
klMSiQJwvPzTWz1ch1MjWqtpxrUV7qUy/Zs+xoa4Wo1mSfUcCHgYWGdjU+pVHhmLLge29In4QG+C
aNEsJvPbxiQzP1K31HeeJXQan98v5KiALQ2GHi/77cRW4hfgwRMp696+zd4CFl5H+jc3sLuZDUbe
6CJkq1xl2yiGQE4JEVRze+O+T5yaZ0YSLmUqJVak07jYnriGN+T6tvrXBYcEDvsI+k3o45DKWLrN
CLx30nPSC4G7JivEqsui2MYp4hvh7m1AqAProId7lE6x7FYY6UVs4Snn/6HwddI2opZDfGAGWwQ3
F++SkwN93NFDoF5t3cdV5XLXXhRNrAa0wfNjY9h6BeX4nzEKQ9Loe//D6e7j2U5f3tWNEyhgDgCc
0/K76qfKGFEBAUH7GhpTasB6/Onu5MfPL3VSQGc14Thkci1KVvzp6mP9r/B+6DB+SCr5zxwxM4xL
1k2Nuuk1Joh6dgfQTvnok5Q3XNm4Mzrr9+D4+b18LCE4Jrgg/guQx6Udzjw/6VGFg7Qo36a4hWqt
g+cExxxCdNsi8rLF9e3P4/z7BbUEGQ13pA4oLp7qSmexQrayQEcQSCQbRZSx4595c0aYe1/Znz+g
0C2v/1Ys9BNSuzXRI7N8S9COOimSTHlqg5/M3bv3iIGLkC7az66cHWc32a0/7FJIFOq2H+Wcboq+
1PFc4gd8b7SLzX70hzv6ONO5I45SkFBpjcKtpUR30qSbofGhByibOyRS9aIayetY41MPTrLZJf6Q
8Apiu59ZmQFSUNwB/mv6RtJaNj2M24aT/c4BXYVbAk7L7rwm1Dd8O+sjhDM7S86TSLG99rPqtzD7
+UOcvkZenG1K06FjIoD5npae2HdhVU7GcIzRY2A4l9dEqMYQub/FuBBO3L+/nmPyIvV/3N9AZ95E
NoK8dn983/aADTUoKlVE1moFViv6V6U19FoEgDkqiwRulupv4UCOIZXoIUnZbnQWTJKs3wbm16yL
sm30hvH5A+ou4y/TlAlB+wlaDaAU2rbUa0+CwrxMicI26OCVhsqguxWFJ59dxYL5d6GOX80FpE9n
CcFBDpmnoa4IrWLuIzc6vKUig0N1hHlkNQUfnz+V+FiB5reD0IDBYDGKnAOIrB8fqzS7OEwxrf9u
ppSp35cV4CqdKipZ6OPk6KMpsjYLbIo8cHc5nQ7cBU3RIp9UTt5jOpoEwT/c1xtE5JcBp4bJEECU
g01EaEOM+OOdmSb9IkSbWxSeLTNukTSEAMvZwMTmsAJpXNJoX1dtRM0Xi9AQE3N3BYsX78QLsgig
QRGGqTUVqUvLpiZi3hShgx3CAcMdetVHPH0yMc3r0KIV9rVtGlxJt4hy22WzLXLoJcicVabbFtBk
HUqAlxKZD+neBG99xszlkCSvw7IQzYT/bjwEQHn6wU0EtZoUCMmBA5AH5So3IIKW+GG8Jk7IBuvl
mL2lO5wcfDYx9zW8vh2BstfRHOPCYkvhyKrTk3HAkcY4VJjp5cfS6hluUj+3944S5j6/wHjLuWqa
trw3nFLEgodJ2xViWZWtCspk49ZIlfarf0oxDds57OK3BOt1CdHxGxnfpfF1cuE1AxUvzjyZa21r
v+KSRcZpZzg36aIk0RqB2ZZzHn2GPM0fJel4gHDJ3AV2fZa6Jv675047KOq/89v5MBjnFkXGGIYk
5WAqQx7dj1Uadz5+oEZfRaNZrBoJqsm6CZoAjj6cX1hJzYMzY3pfoaJAvRpNd5FBgTtWsJwr9yGp
qYJHG+Y5MIddrGCap3iBkAz/PXMkbv1zx51G6xkXpbnzsUQaw/q2hLeMV2pawoXkhE5Amzp453D4
kU2vZt7tZkTST80r06BigqM0091BIcqew/EyC9oOP3La5GPCKT/wFf3aJMao3TbzbvzmmkU2oy5i
cxBAOsErC/WlpCJk9CvQvx4bynuMbOjTR+6lX7CfpLsyRlu5J7t/zf8oyOv8dS47vRm+TY38NUst
PWiNZPoBSB3kbJXpopirWhQguA0rwzl6zBC8fmBzqfz7ugyMfIcUEE5KcRSN986cIFg2J2O4x31b
HhJTLmfYcg8HKizVnYdu4XoKnPjoJaj1Usse1EPIpD7YkSahsfrib6mq8y+43WFID+mRM3Iuuz2H
cEpdVulc+LX5XGUsR2ww3Et3TGq81uKYtwvEeIdkGGprVdJfo0rQmVtOC90WLW6IG1nrFt/jur+3
hF1fKNuILoqhhUfRUhoHIIN/VtUHmzgY/VukQBvwBnXyA+OpENUHeHuzXZYbJwyac3+xit0clnSn
yxrhb/LjGRtgNO93I7/yzOec+E1NVb8HjxH+aIIsxxRaYCw0B6kDodis7mubngEEFrNpUSSposdx
WvyXHIQ+JYa+eIDGkGxNqzPPbTOIk1VlGPLSpny4U12LSi3E9luKmgk4qk4GPwQtKM5ZohZ3g5XG
CQ7NpbEVbdHdtQBaz3QogCsw9eeyhXG8cgpY/KEXhLH/JRmsYD4DGdF/by07FduqrzuOXwnESlDD
jv/T7xyv2BgYZJwXATCJjS269HYaZMb5DSt3p+2w+w39uHox07a+nDzbvGhdoWdo6OjebjSMaE73
05XpZcMZVXk4zZmMrY1P9PuB6h06IAskazg34B2/4nAy/mwMY1pbAH9f2jbFoj4Ia2CNy9Iyc+Mc
/idILtWjij9m07nbRw1CQKJOjrPwCMQc9RAnkbk8t32UWc4hfqudVffWhZMX04oK9JMzzt/NPgyP
tmD5DG3fbSh5mojeT8XgbZy5woQYW8VjHdvqK2xAckWTtnvUoswKNiODlh45GMT10n6hY16tpJWX
EExGubLMorvFnyC7beO5y9ZZ10WP2Bk2X9RUF9YKFX9MrwUaO6uU+6MT7FMLZOFN8bK2J3+8Caw2
xuBrGdIXtE+QZYnM4qmsQB/X9SBucZLyz7DuRo5GmeG5nZRIsPjudJnShxhoh9goV6EOjRGKgTJM
1MN38Y0qQfEjC16UQbK18ckb05WTts2NO7rZjkDvuki6L96hExWKglUB5mSMkfSsSvSC0fHYp/Xg
vigZPo6c3x+Xplj8Pdr8M3I8RfRzZkD2cef1Pcph5nzfqcAJV8pu6CRnUYd22DCcuUFW7xvyY9gu
Xhs8BmUXfJNTLR9SFVbfhmVYfmJoFW4GrwIZDuBhj5qetWmmprsn7zVWDjaOl0jvZM8L4jF7mSM7
sy4pcx/j2bTZyyYikpkmPnUqJ8Ptm4bRum7LdJ85vXoEcya5f1yJhVnKXYoEPIplYXMTlLE6iDkP
7otCLRdRmzbbySPkcjwvkmNpm9256u3xpmxD9aB83/6O8i/BwWpm9B/ngsVDre1ayK6/mJSHM9gI
YZV6kl/uQ3R7NhzbQX5SjgnOFkOFl5iIqFuUi+JHn5LO12bxuwc2/Ah1X+VdLcLowFa5yS4PQueS
zjv2lF0R5BvcEkrJfFeoZkRGdZPRGriJpqpGbAF3tJ0aUWGr/x97Z7IcubFl2395c1xD4+gGbxKB
6CPYk0lyAiOTmeg7Bxzd178FSmVXSVWl7L5xTWSSMkkEEIDj+Dl7r90pgYPcnuez9IU6IaDK6FoU
1UNkzcj+46jAqeRm3t5gFrmGxyquvT6ymBhI7UMLTbRx58kWc+LDFhqpwQNX0Wr3zplt9W630SuZ
5d0q9+vwTOxBdEP3J7/SxFQ+5Z1842ciGtCJ8QRNUwWpctOrEe6Zs7JrIzn6VW2+Kg2zCA7AQb8g
QVKPidn3zY5ILEus/dhwT9C6pLf19QL4bBF7dcB8mWj7njl84Plz4a7SufP7VWGF5VWloUM4TVrj
cq0dfegkGQDI8LfGKI0BZn1TXFuj0G7d0scH4owyhu/v1/IujRLi3xhFT/GJVMAqCTRZ2ig1YVVq
O7dv2/lu8kpShnZL6aEHONmqvMq4ahWxcseMXoEk49Glclnb5ND1F7o4KUgGMkYfBncGsE92onNG
RghydDAoEU8dDYLuyYZN4knWEVl3S44MMC/kTvu+c9yjbY56mT7M1hSaEJXGRvfV0WSx0wGPManY
Nfm0ZGb3ra3ufUzcQJrNKPflSmphlAOSEf54n1ioeWBCify2mgxt3g1sgFNIOI2pnweQ0kD/IMa6
F1itM/k/UzODOJiTYwocaw0CJDt22jS26XU+aY4/Q6wtSn0sAvpHRbaox2rTLq67TqReF0wOoDtS
ZVRb8Tx4jF3XyiB8YCMMrCwwQpkar4qS9vManD4h71YxMZByVZrty0TY4GkGe7hkCe3bIB2Tcb/E
iHkBOcyxS6sulcYhi2TNmBQSPtjYgak8UVrdlWb7o7su0hDOjQtbhxYhvcQno9bkR7+wVGHqTeYO
/5th4XOOTThJlHCxRoRdu0jkBthvzh1wmMqlMFNAPfM1K2nHX6jg74zJdxahxoPiT/AB4UCNMfqb
rIAAEG9qc4TTdzG03lGPDJmLcJ82nniL+v51nuPoMYrr18iv7XTFNqG4H9CcbEIvlDudl4fOIuFI
xnIuRpfJzK+weypiGyVRfU1NSryLfLReFYVd3MsydwIpcesoLxGsr31XfAcLMW/dKme8GI3hhcmn
p6+NsR2gl/CyETc+1LJ7F2GTDJKeHhT3AzcMkezJ8GFUdXZbN2AZN63rRucW4NO9atou2gBY73GB
lkUEPrWAJ1VUaROYZZNvSbKz2R3rBgFacXXKQlu7mNkoTmbNMLWKWobqPtuiwDTD/q1UrtrNo0nQ
B5kzOVBAv29auFi4HNE1DkgqJVGXPrlx47rJonQtnLavVz4JemhbEWqqQ+twcpuJ5vs97MjkI2Qe
D8mGuV8geSiH1Txl8oq3PC9/iON5kKTUF3wEQm1h620VXuo15Pn4CUa88UpHkGjpzPB3le4XW7d2
0xsQcxJbphM/62XxCD5xweuKcuuaYfpSDSZ5C7ZVVS+WHsojGDHMwqEcU2+d0LQ9hrXJSUc6nfeE
/G824dY1QCd17Acj+Z7FlvuahZHxnBnWcO6ZKAd23VQHi1b2E0MB8k9Y08Z6ZaV6c3HC0KJuZXFc
bkLxXeCpg61TFstbezTb96r3tGRD1gYDWprclXMobQBba0KWxo4Z2FzRxHSHFPJyzjoC9SFJ7Ute
t+Z7HMcdYSE5n2GVwtb01hm/d01bjnsinmr7UDjKdAO28H0uqbWy6FgAC/pWs2uL11ltWforL16w
oL6Gi3ivdZkTdHWq7ZPGNh8XPQOBUH2mVkCL6mvbHtN31Xtk4wh2ntjeQlRaVWhbZ0aK8lRPiF2I
C6OkOY+tqt8zsxvBTtD+JAq4z8fvXTfxrPBQsk9TNd3VD8gP/CGTwp5Qwd460jyPkHIlI6SQRc76
QyBtDbeFG3cnMbF/W2mUI12Qh41mb7SGUDTw9739hJMwfwF+MALrttog17VGv1KDa9wz9fN81ErU
cCunG+J8N1BUHVn9yoFopjhOKeV8Sk/UJVp1ZYGV1NYqXBSCU6HbQJOBpgIgbNFSYFyMiQ0RWU/q
qsOIp8jWaUaRJjfLNpaEcaB/JjW1VYbzcwmKNbs2Aa+2oNLbMFuYoSDY6rU0VJRPO4D2aSmuHWWR
b5cZTWK95chZ4ab2mjem4ZZBXjbqlyyunMpfs9seBQDROS5atXZ54dpTEDNX8+AvozIXE+EpU1hk
p8nDTE2yqWIDhpe6p2tlrQjBVr7aSkWk3jNxrQI09MCjwngHlxAR2KueABOn20bUauVBAV7Cst20
Y28Dvc6ShdXfMAO8J/GRmdCuRsDVlYGc4AalN6mqM74HoSHjUikKa2YTsIckp/+D/F1X5zq2aTlh
CQTL+WxL24zv/2gia/UyCCH+dmnZmkY41icfSyw7YXQMyxSF53B2P/Bz66OzQ+8987w1RusnL6oG
z4j13humWWNnG6aDwyuC5bh7UuS0NN65o6Acr/TU1yexVtDXmmw3M3Xj2+KVl1bpu+WBpikCO+/U
VJ4sxenNK1xtoFTWiHGAy9xbHWZ9Z+MgoE2so65UM1Xoo5KOGoe9Q9Rs69qDYoZ8sAoy1FEXE5EZ
pXvts2JOfkIR5Yld0rnFNNV0h4GANskaqZcCtQ+ZbBRJvqkHlEA+vQOiuvG5KuER7ZE7IdO5PvRr
0Fai8cnemGZL7JhHFk+1p/JHDdVPB2cEU9xKKJ6dDSqY4kMvM6osVPlg4TeV05KTAaaphMkyAx24
xcikpk/1/5FMxv7GRrW7pz+dnCudaB2ydNQlNaap2NRWgYis9xlQ11p+n/rj4B7gyc3uCqY5qbVj
OWTlTnY66srRq4cS01CffdQz/DCWVgGdx+E9qoLOmqe7NtGGkQJByzdUoOwQw7S27Z10RFcEYeGN
79ocjhPU42hojDuPEFc7GJKy/C51BuuEyPZsDSCj9uxGZGrEG8oJ2e5VbGf9R0TqOx0XKmoTonkW
R1v8Y32obQtleIiGzMYv16EuqmojJr3dG23lvuR9LmhYEt4RVQRPmwnxU5M7tVcgynUVmLqtumck
Gcg5VrJG/bdGa9KQK6AME70Tza2riJ03TPOGOvwyMggclwxmd+NmTn7UIqJAWgThmD7Q/NUFkhJz
Um3glbbPqEzr4h1+Cr4Yd4wIZ0Tzt4eZ1YCYpGH2PiOk4N4I/Vul6RXnOdeAFWqQsHzZgfBDb6FG
VsMPcs4pCiDRRmeNZbh9ZXM5xLduWsil6rLMZE8F4xwlwY7JO0ukNe0sbMx31WCFF+Sb0UckDa68
N8wjMrpQ0RmZ54SkDDKSSeWw1c0gYX1c1djrmFq7RcVq6sK9GDPbv8PXDGvOT6vhYNC0SIIBzc63
wRL4G+2sFftSpCmySWnfN2FUbTuz1J8d2Ror30UfGct8xjnQztMKX9Z0hdcTKIKp2h6zGcR9oL1A
PvtDBIqNZb4EwbGKwmHk4/qwPgbJbpggE3cyt0yumP9CUEnaIIJyyNK74IIg2dYuskcragkYjcqp
vViqVufINIAlke9HTgICjfphGN0ONXRXcpaoFNxXIWNQXgUF+HWjLRVvi6e/XFFTQ413stBHJpM1
SRzwQk9RhNEuuSG9wST5wKlrZ5P1CP8CCxv3ZgZ/SIfCRuaHnKWog96qfw4taEYzbMf10NnTi8tq
0ZOVXso6yJveu2tt2SkOZ0Oe0tAaHS14sxcrD82TFxPygXwpJBuR9Ev/pGmx+Q7xKTvCkmxv0BCm
a7Rp5htuHVUy/3D9aZ3YLdknePGTKVCkIAASlV4XArFLvJz1V1r5KTXMyd52zmA/aWFcj1d0rjKL
ZkBVTKu8LowXUi+iiYBjQ15VKF/0jTvYE5sC38Rt0YTA4TYFibMPmT1KgiYz3s899XkQW7Lxluvm
XA/WQBsaW3x45eWF9dyg/gB5rPIXqy2qZ9kBY4yTkt4jSk8EXFHPLZ/Ll0gb9IjaatTWGpXHhRRU
Eozpu7yWkdIOMuWhDmSSuded6qpjZxM/xI48O9MXcPdaqHtPdIwTl9sgct4BDFibUejtXS8n8wAp
GdRJ2i8e8KnUCyQ9JS0et23JuLGI8QhmAgTkCprfuCtts8/vcPES6ElzK5Dc6qTTW7baUL4Yp3Kq
YjSLg/Ech9P4DM8PnmGrdCyddgZSMw9/InfWA2GL7tGj3N8ZIjTeK5TxzzjPJxtkDRcOK8IzXiDv
MiI+2NV9x1PnqTeE091NrXDEr7yu0g2eg/nGjzT4UNIQxY73gSzZZrRW4LmIZvjp89CY8ltKsyPw
RjYqTZWUM/BYo3qCeCbu09gSxP3R1T/UNXmn4EyGPLOs75Oi+y83WU0/SL7zgsqKPmA2j7vqmR0t
+ch3UrSVsK87mIms8q3nLZop2eDLRrwwkqraMGtgEFpdiwmJz7QbILAzWLAqfezig66WeM8DAnOy
m8JkHOzvNlz1bJ9WXtEB+RFS7xaCEAkqksUrQ2XDrA3dRuobiaMHCAKNmbLRIwVvLTNH6uNBTSNd
zJVjjvZWkEHovTolUJpu1dRQ7QHcE/2mk8vRl+gnAm1yogihjUD7hUyaMh6114RHm4cGeT2JHeBo
6uqH3miT2wYMWhEQbtp6mLKYSWoCVb0LQB0v4nbuwYYxSJRGs97c9sSgsoVJrNGR8qnyhrBPAwbE
Hvs+rEzJmF7BYmxVFbSD4znGRgd72TbvChygMa34LXUyMW8WlGTkMsasDKB02BX7BBCCukdb6US6
n+/iaOzd5pvSotm0V0noZfwZGn3XGU/wX9kwn0gWDXNnPepkoPbb34/nfp2QMzVEAaIzOlycvAxg
F8P/XxUStMq8Tse98KOo6mWg0f+hcbFs8r4E29NYKCRpvT5qGDCSlBHdP3yAX8fbywdAKIB512cA
jAz9a05aYkMZscmu/cj++ADFH8qTAjA7d5xWMRf7Y1L6vyC0f+DjWPan4/Z/5jk8JTJKyoT5/Y9P
OsTh4//+nz9/6N8oNBMdzQI2Y5C7sBn+C+ageda/kG+L5VbCh807mynvv1loAsGRwWCarxppCDId
prZdzK93/sVv4wl3F5Pr4gn7T4AOrvGrb4QPxeEXcQ1mQnsRpHy5nReIU1VNkbH3mBLBne4rb00p
SpJzOTW0dHlxgKmeSg9g9RJn+qirOlozxK+wVUXqyqqcZOVLaNe2G+LKIATau4kXGrZcuNgAdkD/
Y5E6wOYBtBWCz0YN/KZDlJK8UrjAj/CKyyezc8hnYERJVINJP8wOS3j+ceSfibqw3+DhLDBBs7Xf
rNrhL2FvJ/4AP9uPbCQnNLOqYvzhu2Bl0mPSguSJK3cjixZ075ie9DSrvZ2D3+eBii3qCIPSlLhS
WECMwIwr7UETNplqpAT1jHyJJXAxma1aCFoi4CEcrwzsQbz8Yu81z3KSrNqu97gs2NXxIAzROa0N
tVaZQ+mlm1ZF52wY7K3R6AKhbvYuirk8RYwDV7Y3i8AmAuNZpi27TiMUgYa3h0gIa3gyzXRaYtJI
98JHQ4RnXdQ3ePR1zA1LnImOKvCFfgDM1XYcH5m8QjdLACmumrlv3CcsdH23ZimEfTrLGQAtW214
tqG/xIa4s+jMa7bikGI11DMPFCriTSHqB2ebD/WLiIR3hmphPDAlWq5yZnAt4oVz78NjWOJTBiCP
Sbew2eslU5SMV71fySV4ocURxtYdy3W7suqSlAjP7gHRebGPiEKTTZlth1JVJ0Pm4NA+/xWiCN9r
WDvSWTWKVxQ5CwU/g+4yg3695GabdNGLtd0VJJQINkxrW5He3PUCTmgeR0A3P/NUvCoDx4tl238y
lAY1WnoLINiXwnhAErykhCiCYAe3UvNu7HzrYMUQM+uRl9hOdB7BU3Js55MPEorzLAg2MSMDgiYk
AE4IDhu/p0HtduqymagBaEp8gMFoYM26UcrVLfqQQJNhCXOJQnBHjOiklVKFuLmgPEE5eEWziniD
FntedOgWaApA0bT74MVITlg2898C1QPhHlUD2jRPU7ialVYSfUtzbAH/U5fz60dnOXlv7sDXo47k
CkryqJPVjPjn8BnAMI4xX8vcdvWLQ8W4FhqweIZtpn7jJb1z/jwiPW04DL1GpgWjG+7NpkdquU4H
wmAGmYE+BgZAioQYcJruJBXXG2wmYJ1EiVUnR5f1S2PSREOJOMo9UXG2uP2Mh8isJq4OQIBluwnp
AGEnMxN+f2TlnNa0jGiAQTjfRJdO2tPnp0QWrqJ9PjEpXBNWyoe1a7KQVxr5ZVf48kuEN3S/2Jug
L2F2WPTNfN8NGdHwzDn4SvGKLtcELVR71U1+dYI2Wp0mWfHfPoO/9M8sEw1d6y6rlugRvyDFwh1y
VigXZtReFLoxbRei8895xr61Sh3cqGyHzbxiT6N5xa5S/VCdYLyMah3X2QgsMiO6uvPNed9CT7nT
l5CdPp3IyeFOsxDSsDXnPkUss/KFX587T62r2sZxbANk6VetCf9VFWVEcIps3StHd8NT6k/+E1+m
E4Plc427lH4L83gcXC+dUC0aldQc73vu4l06eMV2RuG91vvIBrjetd9TzTKIqeOl85T7+XjvwUJY
u6bkxjblIDkZLsDZ0YXG2RVIrFZzZcPn7tgA0/L1UZEhXYlIL0cO4e4H/IbfUUSjLzPo3jB2xkfJ
4tBm4hBFqThY5XJ9pzEOMQu7rCBMm3sOWAzXuA/EBucFfEmtswZGkYSrrQqJVMbCPbEjPToGW8Yb
47Y06vIu7yvyyPssT6sVydkm9rrZ3bIdmX4It7COoeySPXsX4yO3XZz+kRpd8ueT9ExeQ/LDasbh
Qdn2dIBgXODsycN1lWiPYIXlE/lNSOObjB557pPGwqyJttaoYd2iy8P/G8ut7hXTpoz0+UcyRRlP
wJC3J89mGAJm16UfVMyh9TJlaXtiUoa1yTdd46BmmV0w3NiBDRl4SW2E0rUmBNs9M4W5Qhpd/LBt
P0Y7j/EYd+PUkKdDP+mKvMc7o9DMcQN8mIlQ5vWtcc4pipvbWVjxodf9XdcTqziz1Q9aApYvg8JR
mGkqvME5yWoCWgFPcK3ukDQ8W9FgRIt5a44YiSfWuc5K3XwM2ZU80SCW9/TkbmK7b+7wJgG9iVrj
DkGhe1+6bLpyNXbedYMoYY+gvV6cavpzZA4jg07vYY5M55tiPo2KAObJjkE3rVu+t7ze93KZNVnD
HkUdaU+1edMizMH8ift+k+ObJ7VmzhcAWqejOqBFNZo0TnP6W3S9YO2BSu4IMsjRsuuYCePhFaV8
wcxSABvY6oVSRJI2ea7WGlHom95qqrU36t0DkVneSwKpouVVaOnXKhWK2BatPvSOxV1NHNHryOv9
NORKXXWm/rp0Uy41vZiO+IWxdtakfHfn1pnToAdzeD/5mjhNY2rcIuXpfvYo1l8nP6qat7Ej1/I2
cWQI3lzOUDEBlTICk88m4vvbGGMqts2M8BzPGM99x0CcJPoVSZJMY1pLu5ayI7cWv9dEE674gWhq
PDdzwqiNuv6WpnP/AgcjDKIiRnBX+zbot4HZVlbGRYOl0a2vXJh/F7JzzDKIla7dCsIMURkpOv5F
7q564YzHui3K10SxqbSr+jFUtX7MdPkEFaBHQ8992qb6i2FGB8yK7Vmjv/48DJFV8MxNcEXC1qA7
G8enNhLRtYUG7qJcuffU0AGlNpH16IZi1azqUZyHuBOc4cJbjIWVB3Tn0KrQ3ibMi1tFT+Izep5q
b+bGtzAVNCVyh26OWYl1OXRZ4Ix5HhioRlgLSQGORwdPqeWHcxCJBiUVvgJju+CGSRYxa+vWi4Rz
g5Oru6+kULzoy55NJWq6dTaPxDx0PenIGaZmFT06ekOPQmpJYCDhWNMVs7d+VxT3SVr1jJYoP7Ym
5saAVkHKtI9tG+MGx2Y+0sbxTQFiZ5tZ+vSgS9mfUPHp3zTJD/Y49UCWuT2ZJtAYA1QPt1anMzgo
ac0HnYmIyyrmhigQ8oPXU9kOG1WVhGHGQ2UclUjVbbJs6WXoHLxuicbIoulRb/MQ+UGhnmIVP6dh
ESJhMjwKirGPHvt6aai2Y8cbt7WOTg1zZNQjkqH82Ns6yuF76CRTAuawuj+vPZeZ7Zadu82TUCDz
qUebiADY44RcxT5NLLfId/UgvKfa58T7epT3YVq523ZswnTD63DYewTgBU1OjKwXhqgmpQF13Cnb
FckRIpinqD1VYhKoPeJpUZWIagunfbQgSvjjxS1GZncu681H2ijnp8e0cJNkjj3vY7/Lv9cYXPe+
9MNNvpRWNZbgVd5PzQrjJyjmvEidTaI1mGRQPK895anLgNo6CKe8W0890S0ZcQAnOOD91dx6tfXI
+y27dDS0oDYX/ljcpF1ikahlV3cKwYdzl/ukIq1tHDqrvkspC8pBvGeGqcNcoHXCA6RTC5KPmZHG
N95HDPfOZda2m0ll/giD0wtvW8qAi5ljoV6VkxU9u0VfVmTr0GmkZ/ESKaO6m8MhZSIexdsmU9PZ
bm37qilj2JR+02hwnG0anVXenUbyAnZemYw3ht21D/FQHNHpnmpvHgO8zs01it72O2wQfUcDSB6N
3g53MvKeKNSGrdtKlEhS3Kb9xHQdzG6GVGosovzYYkAztgmiNMCZAjEX1sqySun0OvMdrsH6fcxA
TnD7mBBRahK0mHmg1PxMXM4Q2RTfpyWIWfOJZMarK0lnrhNbvXtd/QBLrczclQR4SZBzobG4HfBc
7kgHdu8qEp9rhrrxqcyXHGir1N+6wa8vI57OVeJxLxwIpwj5nsGQbbwsjd073xS2/i0hxsiXw0pC
J7vBsNpsbXJKJR5/ux6+zUv+EQYIL3JvIrNubnj7HdD6LllJv+/zLOrvv2iwha9bpHP7BpgbYQjQ
h7/2eSJ/UJMZUde6UooDzX4y05LYfJjpi3340vinZA37176OzQGFZXg24D5XF5QKdAr+2lhi8jAx
8G+rPaJZn8kepXvLwvyWaR25FWalvsc57airqPeUdUBfQWdyjecpLi6pnZLU9Rkq4DSlkNeFXFIq
NYd4NGkSZtvHxJcBYKYAFDN4osOCQvnQI93y2dCLbr43nSW6shkzwDBKUWbWqf1W2f3Q3bdEgrbb
GRPd0C4TeEu8zuwnMiSVIxu2iCE5tX60RGmxYjzgDcC3CJvpg1um/OnNPdBpP6KiZ1rN33dMvX5B
Uj+O54i9kbasnTobLEMLb2etVe0Wea9sd15Uyf20aO+vBfl2zk4ic6franjkIy574c8Mtt9/6V+d
Dj7SDkfQqYFnzDD6q9Mho0IOnZY5lD0t+2USndgbIBpju/b7Ay13z693FwfCp0IZAP7G/Hp3eQwE
tSbnQHlM/hzNCbxtXdnw/ZB2vqTVLcmoETBwh7lZ9U+JJX8/uofLAq8Tdi+QyV+pYnA2DZeRHGbD
tDYfnGHwAtgFE/VjLvfVqHFUp3PZBGhDwbbt96du/Oq7WG50D6m0jsnKcEkg+XruQ2prYRXKat+i
h0XGPURK4GZtyL5MW7bNWF44+V5M1amLligIXZaKjV8ZufnC2DIePj/Q/7Y3/6G9afiEKfzlu/tb
0MO5UkmbvP0aNvznT/3Z3/S8fyHcx6vC0EHQpXL+3d8EDo4pyqMkpZtv/dH6/K/+pvUvHcsbrhsS
c1zf9Gmy/9nfNPmFmHIYdoOhof3p/0dEcOvLA43/CxAT2G7btUksYnH9dVEl/WpQDG7lwS5Dl0hK
2A53Oij8C062els1CAJpNLj6e6u54QO5dfIwFWV41GQSHltpsovNXQPVgFPuUBz0a7PHIrjyvEx7
8KhWAjeu7WRT6Z2/NuJ0vIbyoH6kLLqk00f5EwqPboMmFQc4qOpLpTMuDkrTRRDWsNszIl0Ouw7V
x75qCuee1PrxHxydX95jXAFeXrw5uQxcUzxxv16BFJYnRX8NFEca440Ttv4umpS/NrtuOS8+919u
kZs/1rC/RlR9eY19Hs+3dGZF+Cjdv3G9TM3QxyjL6sOgSXQ5Uf4OZoHghZBr8Psj/TqJsZcjYQo1
2FjQyDDMr+7JWTkGansnPwxh0wZmmk4kGdkkCFhhct+budhNcRre/f6g/83pLR173XC4mTz9M9z6
LwZZFPbtQMhkflBOjFNBUyRvtECH7ECNNq6Z//xozAFYpw3wVu7XWU/ke2hDIMIcMChh+S9JZN0y
XzOGa5X7fyyD/2O22Fc36nI9GUVwENfSfWqeLxUPSbR5XGR6cmjiMSeuIg7bPMAcVmEDY4odT/F4
raQClt5m/X7O3a7eJK3T/sfnvMwhePnqGIqZj3y5YXOjdadCWemhUYQqByOwhMCBvvPgO3X1TybA
v99Dtk6yjGmSe+4J3kq/Ph2y8fHvSCeFlznPt5Un2btpPME1zb34MLWLYQgxdub9f5wkg0SMQQ7A
Zjptvx4X+eiQRMyKD2D9EJGSfchgQg0ILRaB2X90Ey2IW+J4fKZJfL3YjL8cSyBJMgAWJgQXkzaA
QAMTY63L6RRNg/X4+2Mtv+uXuoZj2SjtqaGWKvarpzItOojOIBQP88TeI6hCtzjmcCSM4PfH+dWn
Tg2xHMfCqI0Zf7ldzV+vn3JyeAPVmByQYTBnHgfoQSuE/eYK27h9HydJ0a1G9BU0xdn4hBudjdjl
95/hy72zfAaD+b/g+cSwCnfu18/QIxdES9rxGfqWFAejb8gHm7XoEkKXO1aRR5cFIfs/rOefl/DL
JQbEyYnj/+Ud+nVi10dOX82hmxxiUoa+ydQpjpTk01VNeMJOMnih0IZyV5JSPkYuCDg19YfBKccP
wwGe8L3u/eKY4Q/bR2BdjgSR84851W5/f3X+u89p88UwcaM68PWvWRx4MMIBPq221+F5vk+TEgzL
aQrwFeUOuJcSc6i7Im3dhfVTDbS0ehNIB+rS8KCySpz8zg8PIzL7K19zWhfAaFylQRX76DN//1n/
ftcu9TB5VYZNRfI3B7eOxadq8yE5sBOZcEOxL8nWZYv97vfH+fLy4I75o/KlJeGxxH1lXgI956Jo
bXIgRW6+xcnExKKke3ciWMK+//2xvi7nnwej2W7ydrSJufqbld9rF+9gynJONyyIvLAPcJqpdc6j
sg1Nprj1OEwngwb6i8b8YYc/oPuHC2von9vWX29X6KVAJZAr8EX/PTJA1vhhGzPcu4om/mERkRMf
4o9WfYhUPd+STaK/2wTZkc1Efi1ejRjdM5JxiYYKjTItyD48+kpNN8g0TWJSm7SW6wZBa7I2yb+9
5HEbHuOkMUFsWuHPflT5kzfl82XO5QgujcHAvcvO9mgWnn3qEdDWTHYH885mXnvPXkPHT+YZ57gU
ZBLodcI02B3m24mQJ4U2L+7ZT+vdWx5O+vuM1O5Cksw0rxgXhD8LT7PrI9r0ArtxX4cQ/g3R4vSk
gbey3MXNCN1EAOZuTPEW+6HxvVSF9ThYVg2tlfxF4t7HUPzM+04MQYFpO0ZZlMaXyOLJFjZLC465
5F3FLN54vu2fUaV5JnMbysYlksyL1kPiR2qrx47YDQLPZoAQtv2g/YenN23cF+Bo0qMpk3K/8fRH
GfmmPoeva6ndeubiatdb5b7MIrQDCLLRxV1+trUrPsaEln3TJEOL+yTJtQe/sqYL75n8qQGyev15
eUNn6DZmGeu3UCDi7MjMJo8PoRE51hGvYYxLHGTZppnjtN64n6sVnpuT7GZWKDrl2muJYR3Xuj4a
+jrPjRkqUs21m2wvaREk6PGDGBPxDTdhrpGqrpc3Vma6ZZAKfs8QJ/HFgSDLfMRN3tEvINMNpZyi
nQ+dm6kqsIj7NLKsR4+RiclUkWtboBl9z6PC3BqyEm+pDRx8xUODnyBMivnWHjS80V0mxxu9b8br
ZCJqhUa7kbzmTsfShCXgycDRl2+s5T7E4RCShUhXjiG21yUYWwwKGPqY87YEd6NWbtHNlwi8Zcgo
NmmnVdf2821ha7qOMZo6h95xPa1TTqBdIaqbw3XLDbZhyl+/xUOkszn3uHvtTIw3EizuIphlx+DY
KBicmAg03FliukRanh4zL9/4s5YF9GTHa8C/zbZLXWMfDXO1IVTOXk9aJW8jIocOOq6FE93EBXmP
tsAxW/1iWOV8VI3u7JGOhA9R526weWRvjVNml4mjrcPQdq+L2d3BNQX9CUmMZn9KtK7HY1cjz9Mr
JixapqwAM/m8NtnzATEs5dYfYb8LjELZmqtqPqF9vU5ozh9TAyc7/LXtoOLq6POQrGINrzfQAIiM
BaeVZx4MoQzzzNSjGjVbHEadLV4kLKBLVCTXkgnWqu+tMegnT0BLM9GmNMmjg8NxM7W1ecptIksU
IIu6K4dd5hd4YmbMvfGsO0j4EZYnfnyHM/bdr823WmntJtUKC+eYKFfm3JsHTfeesUqGDAJIdVtP
o8dbjZnXa2GJ42x5BiKW5Cp2kiHIhPPQ9+EJgVr03CHF3MQoWo5xXrAAi6VGKszpykksi0jvtrk1
krw9aoAvgnl2zkDJJg+HcpG6rZ8ti0jU/mj0rN5PRgXTgABXmqhTZKVHoxKVsQq1yD2Df+MDVTkz
EyD95vxoM0rcjkMeqk2Hn/pEL6+5plAScTA4rBeZq+ePmM8iNOT6cD9V5IVDj6yRBcP6nC6Zi4I0
LIitEsgCPtIikQc4XuMhxibCQamiLzLS7xiUDnfuME0ba8Zku7x/7BW2zz5eJ3VT0K1157XLk5Yf
BEYbxtEZBAQ5UYtkS5heVjrYEnQ3YSliIosrgjeCG/kuFDm2Por7Lygo87YoYsRODb3Ab1KbBaS/
7snN5yYwhgSrK0bVdL0QJtKgczI4snZqFicEw9m2TDP7/7F3ZstxK1eXfpe+xwkkpgQiuvuiANRE
sjiIkkjdIEhKxDwnxqfvD5TtlmX7nPjvfWFFHEusKhYSidx7r/WtOx0I/IaCj7+qLJ6wRcyBwn56
zqZBx22A5vqbmc09KdKV0aeYKDvtVIHpO5st5/adMbn9cR1LFmbG2YESodDui6WTYbkAPKhdm3kl
k7zBqtx3RdQBhFlUBI9Gacuv87R660G3Uw0lFALvqB44j1Vze4Rh4V2ILXfuIY0sPjauxtdUK49U
0N7Rw+Gqdo0Yuh8NNAxE89lybpXJjMXSb7yom0i/8cQ1dOqKI0wlD4MsvHvcROjmIzMyKf4Z2dCm
6MSjlmp0H7ClnLmo3ifE72vAQxi3LERq622GE3aPf4GuAa67wK1bvPAOS8ABBLYDvGsjpAGu4Lhq
DCdcfp/zpa/voOgSxBOJDDR6a9zwDaaBWWJVHCNxGBGFE85V3YCW1/0I/fhd3Bb20UbncI0Pj4lS
s9qfIrsVQelO9aHQ8QIUTHVeBsWvxEbT+mM/Mc1BC7yNaCLbPSRjhWOvmgRy+T6Kv+D7NC+D7ta3
+hpx7PcQqCFI1rIqXHKttnZpNqKsySv5jPWaJk7dxlfAht06iCKrOC0MO34oyvFr1ArDvbKwXKBm
8sbe13JmewxLps6v6tG+ULGTgVZKSQEg6nMhFsXdpZjPZ2Vx1zi2unURaeE76ROPnAL3WCJXPk1u
xagNMt9V3eKEzGA6HSAQlK951UrE9Az5vgKcAKjvZPm7Z5cp5nDZ1CcNglzYZEX3RfbNt5KXDru2
tgofKqlR+H20ji96Y6HQ54ypkdc4cJZ1ha78NqmgImTrcIUTHRZlnYVc8RRrqPE2aV4TgNPAzYJG
sUf7EC830hvqVwll6Ez0PIpkj2cgg531sNhLFKDCUndCH3toGDl7dlvw1GAT6PDQ+6Ml29z+rPSh
kkyt6IBbkDOqOXlPoOaSxY1hkBtbVZRJoP9awoaYCjXGJZ3s4TPO4vHV6lKXGZqHtLvaGB7BrK8u
JAMbZqskB7gqq6PGbPmMWs6Lw9IZvy5KpBc9R4CtuWNBhGWLfiSdcqyFThlfFmPBK1i0dDUQoJzs
upgZWFpqPlrgcW5gNBZBAT9yDggpWUBsDgOoATanBF9S1s5HEU3qLLqywecDtJDtbFnjTwTUG4s/
28aAhn7mMSLoDrEuIdH7cb9qj2nh6XsIz1w3HgoHRm7q3Kzp8NZQG1FhJEVQgbd5bzs3/YbjkKVM
R0m/SWSD/VAa3Xx0dDP6stiG+QKiWHs3nGG6jtwlfrSrFetDzcvO1ux9FlVKVupgd8gmLLKl0I34
yLM/czCOQhU5MELz9sExv8TxCn9+ZXuNiohFVX4BtEq0jKs9yHHGqSmrFe+1uyd4zmG4rha8DfBp
5m2wLSUycFEhcXGpsXeVyTjOm9PXvDCSimQVw9kNCTYxZOZHlDXGfnCmH2o1vQO1PL6BzvD2Ocwu
BFzO2ehLG/MGg//SHvZu7MU+sUkayD+Ws57NWOXt8jCs4mVteOEETsHBWFqA+eVSoNlL50+tAzvb
QJh6w4D4XWt0EyFkiZV0BJ+Q0tgNMcPM57RbiqOn0x4w5pGQhqYDI54o/TVXqJGo8XnqcBA6W0ON
httLwTBPqr/W1Zxdg0o65EBimcxg9aGoxkc6zbeTgx0hsWbnaAOBhhE1upQmOFrg6PKAqKO7WfSw
D4uMrD/V/1CdVocN6rODcNJ6V7bet27Ryn23NM6VaugdrLGOHKO/H0ztJXWsfR0lC+cU71KV/bnU
2uepXG8BsZ0BOH9uuuiGLZeGUZGqK6db37M2/kIO3AN0+kPDadqvsuLF01OyEXOalBKKhbD13l+7
LbtQE/bnukg7IAnGK05KDlZazCafGKfCQeNPcvw+G5qrOZHTDiLXWzl6zc5gnB/vbI2KIJ6G4etq
rm/zmIIHH4x9KwuizRZvib/qTb+5yTo3PzN3hgywLJgOkXuJNRxxaGL5wNOmkmu7/ay74/AIeckL
kz79JM04OcrJy/2uHYcnzejccJ5GdRypYa4HhtJH7Mzbbb7oZ9tM5ZPTW9UhLVvIRcSTdCdQ2bRH
mb1TTkgvmQ81ptcQVnNu7VYyp5CO2rB4knJ+sA3H+647ctHOWoPsQOxyr3f1gzEak3mlXGAJGGiT
cb4jinZ7PaPNsxeUITjxl4wIPOaoihUtJ1wju01dnWHbywqxFz3Zkbuc89BRmoPULvh0ZBpgws02
my9NU4fAkesk9zByDEb07MY5TpnI4QbkXRkx2JFLIQIorGD469aURTHLfghqthf6TNtMY8Gl/Awp
XEOr01Jj1IZ9laXrfGl5xn1x22i5QdZMlZxKLcRg5OiXDCjPGCoG+vflACKjmdBeoeDaqhOBFfVH
thrTbeYs4lpH/LoXcZefk3yKnskGoMkdW1I8iN5WoWN3VCLxOuqvdT059o1Kxq3k9RQoiQQB59cW
3WrgFhrEpgZp24mzPS+tOaB/kpoCHYlQDBNASOqryVHfnKI0grTj+LezkubO7lY/F2N1qhrM9iuP
/JMBkdFPezM6m4lNU4DM0xt3wPjzMan5eL+xsTQc+E53ihB/HagTxgN2jvLp4594bmk86A5lfy0z
74Akfj0aZt689KWiBsPRS5fABZEyrRx7NIpNZj1r5Xzycr5MYlAxZ4Ja3n80iptiZowy1xuNn75x
wagUvmuaeAcN1CE0kCk/O6uqDk5p91/rVPELINUud+wj631P4+UOaYN4Kgedqw6ogM88zd2ps6v5
Lp85765aoh/XfFhxXS6LwtDC74XjNHpsbMq+drPq4CPOWmJTGmr7YSgkapB8A6mkK10RmpdsBhg5
d5FOwm1tjXZ7yiO9LFn/+qpde3XcvND8S2HYZHQUXQTQXdcbRC17sDV4diAKrOIVP2M+TdZ1gXrv
YovJvqqzlQnZatO8itb8/LHuNKxW+zHjCpirKr4g9l3vE0V2Eu5rbft8SRMR80x3badRZt0Xw/ad
FANTNrIH77lW8wW0BV8bTUrfEs16gzgLZtHWisNwvt5IKGS3ZD24QV0TMO5YrABlbcpfb9xesMic
T7HhaaGXYHokoJV+vmzcYK6k/lTq/EiOPuIkq+1va8W3haaABStMudyMvFC4rECBgnbS9KcE7WoW
5Cr3DmnPuk80jtdC0mcNPhpPQjOi91VYNJUyVpO58qLZrNUvtBJBJ/A4Hz9DohTXnpii85hE9UuU
6Fhbo4RbhwQbLqY5MJvEtA+aQdQvuezVyWtnzUR/Nn4o64tIPFAc8BtWhkP7K8Ldzgk4mqoDbDvj
mrql+6q87est9SI/ozJbb8a+Nh7gJuNz2G5YlLrJ93Itm5cW9TeeAGynZzI1opOi5VruBlfrX5By
+bFOR061/JyHu/CKzfd1sPvRT0RK6aGat4qxPgimyD1AmYnOuuLqKBVxs8/MSiMCFOhYVChWu1GF
ce0sNyYt8JsGbfxzh30SX4mziqsCU+oteQXR2S5MPrmi8rGDiu3wgCyH5gdjUTewt1UwQfS7thub
loJtWSMCWUVNOHkDq0SuxIrqWfPCKBIGCrNY7um6s6OgpjrdD+Cznj2LbwqipPa4UhC8y6jhF/bU
tga7LRFekiR6TmMDWb1rLutRkwMcIVdS9rlOMv5wHepkhIpifurrdP42jy5TqJ4DOSh5HjJhwrGC
J2OTtdcYg6tLMqnhEUux+70Zreg9rWfvPNpJgcdt4slkpVO7X2y5oD+vWAGj10bPmWPbKBw6s4sC
WdPgDoomrZef7ef/Ch3+Quggpccs8z/buAiHq368qfRtUL86uX7+2N+NXOIPuXFQGfWwYn+qGaYf
vfo//0uT5h/SsCViBcmcFsoFw6q/R50bWwg6TW8HVZe3GcD+IXSw9D/oyjtozGx7AwD/z4QO1scU
79c+O2MwxDQ6Q2myIvV/mUbZxoLeqE7HY00sHJ4mkAvIrzyMM+ppcfJXVx8zuGurCtEYeH6ecQaZ
5yU/u4Kzoq7cR3fkuKaRHHJDB/16dDdKkeZcML3gJdA16pGM+5E5DqZ09uK9ZZZ60MZkH0GP9PaN
p6W+5yAtQPFx30SjHmDwRWNLuRiKFjRDLHhPQHGjn4mK99RbPcjy/mmbfg42h+K2qQ2oFNmrw0me
Byr/PMdf4tcIHE/N2D0JZFH+ao8mVC1bCyHTf8Ep/ZCZ4nVE5MvPNk9Fnb7XsUJ7AEMVK5RxLxK3
3xkVv4/TzGDBuvbJERmZM51kSrbJFCoIB/4MNiUYNYm2zj3BZVYhzq3GHxGnxqrEI0E5buTavHMc
vsqPI4De8qIkp5k7K48/8yvwNejuqUz7PogIYUdLymf4OJMkwIB4ABr1MeNIjGklLgKndfjb3Lqf
3IGzGD+ZIbOn+8gMeDV4bEKQ73cNI+rQVmK9j+vi3luKMSx63rLAYn1lWy0ffzKNcGg5hGCOywN9
jT9zUqK1tO1lXl29L1VbHxGcwJOKljyYcqSNO6+I36JCE3wP3iNaHBWaVdH4vQ7HYDMq73FFubua
sZzfZV7/CAwqh1fm0I7QinUPAWM9Ti7fntnzppMtT67QHj8WSUrXMlgsOouNZB2IxbynPuKoqzPn
dgUyGk52PtOd+zHlQ8UZThJT67y9yCBH1IDfztJTRjg22ypS/Ftm25e0FzmhTL0RyjHJfBq6G+6D
hTUUZeOX6GtZz++zh42fgT+umyl9hWvMtV/5ryyyZ/ouWhVMyoWHMdJdK1EI75ChuYEhOWwwOvH8
ru+ePq53GQNBGAuWFQD7dR8nLBkcv1z6FpcfJrTirIv4nZucVe3wb3GyNIiuWSr1di/ErVo+I6kw
d44LiEXwQbjz6E03eXoBDXaSlnxcVq781HKfSMkhATPPSvXP3eHJ/gkDDBQ4qOvccCwml7vx48uo
Gm6KSeOfNnn5SrqCEUa6bM+FQVSGFbFo8UpF56XyxAOAhMY3aBbuGL+NvqmahnwGwwi7vNYDjDh8
pToP6ylOMLr02szDEvWS2TKRa9VqhDmYQ4LyTMygGQ2ZgSMVM9rUnyfmAK7BjQr5AVrjmBRhjmwy
xGz5jksivR8T+/Jxe5nZuh51wUhptgqOyzW9Xqi59Q5XR0+CkZef8ZlUh1k38xDkE7dh7tb+x7XV
Sn59LaqucW9uWwhLoAJOhDGH7+ZjlZNPsO7rpvMOuBXykCaRt4fwWwSTxnL+WADbCucWv09Rvx7M
hW3Mg7sRWnRijx+XWQ1QMRX9HX+G7BSOFHcvSJ2148dkknM45fQgtCPhQexeAEbgmHMJRP4e53w+
OprsKxp3c2miqOLQytmoG6prmcLnsWf74E7Zqxany47RYnUd5UYeklOQ+sOqa8fY5j6tV1tcL0jQ
9phFsl1FZu61Ri8CJy7bF5yTF7CO7k7QvUln6+AlBcckbebFBPoqqzexsSjdhLxm97vW6Ok0Oj1H
me2oO6elftRr2yStIWZTjAWb28Sl0yRHLmyB94npuYdVVMuhUWwmjTWOvt3ya0cjH2Ea6K9yi9TH
0mUHKyW8iI+9yfBmI/y4aQGajeSgao+8dkLxxpLo8AMaS7YcnEhzd7bCK5RnE4upnZt970A4zGvQ
EEmrV9dYGufLIGl4WnAjoAbyztt37XhMQvKSl0SG6+2tyslDa1YUZ67NFmjh1KD5Ht0ZYi0DEEbF
wY3a91byf5dDFnLTU6Sm7CeWVqQM+ro3V4euRX4z5TyG2ZKpSZhryZ02DRdZc/I1Jzc+L+mMo03D
uyMCB9p9aOQTx75q1pwhIMnxGxwkMniQbFlO6LmiJxlm7bJXI6vnQDQZBmowTI92zJyqd6cmu8Eo
MZxT8vhoJ+sRIDA4a9YQZhAY6Gyl6o78aSeKd44oYrnv+nnM/CUHEjwvHjbKlZJY+A7OgXMTDS8a
5JDvvTe+WSkOQ+wyc/7utqa2OuwScDp8tv/pCGKl3sPxmmnddBrdz4bRYlBm1qgFMY+iAPFAdOMh
RtD2hVlN/SUnoVEy6rD68qiWVWlPC+hePxmwQVxHiWcqujqFcPx2gQhzsUfHWEh2qiLtoSK/5pxI
5/GXo9i/0RP+rlXmXGNtUhfHkVsww+8pELg1SC+su+Eo02UBiJ68pzkPF7NyH4cO56JNlrlvpaz0
P3/f33ST6Jd4X/r8OgJlHYnRb+oej7Hk4qlmOFK7bZsd96CZ5t+rSct3c5O///m7/a4M+Xg3BGEo
NYnL/BexxjoRopeu1YADlgWynQToOGgheYP6z9/rv0XAXxQBMOFMvvX/XAVcfowv3/8J5fC3H/lb
BYA88o9N1mqiX8cCj7z1HygHsWm/fjnys17AhCC6xTe5Zfn+nd1g/4FglOVEI3BTHCKZ+r//+5/0
mf1v//2r0BaF6z+L7XTIptvbGIzBPXTUv0t7sd3NIxAlJoBRL78sk2WfFlNo3c5e2VYx0rdtMDf1
GRlbK3a1aMeQo2Efwl8pDoPRt9d2pA/Gk52sOX2Xokuu2nmE+oaxZkbQ2lnLFxBa45PKyy5QMZqX
BEDpzMMTDi/9gEwFM/ObkUnsInAU9fVzNUbjLS2UaPZdrZoGGFudXMElddM+LS0yJLoMe2iXj8gh
mkUdHI+PSERzhuQKEiYNF20x5zsAOtLZJyCP4iNi1XVAl5Lpr9nAZHRXLHn+vZVai2jAHsvdNJXz
bRShjoEuGvG7l2DImGQAsZWneuksWmm025oD1lX+1uyZN50ZGiwMtex2OcWAzUlXKZdZO7t8wBq3
K0IfDnplad4bblPfe1YWP1ABjLctlAy80AVpaUmJ+Cbq6xEXdiePkI+rFl5ADeARwiUSDXfIq4CA
oJmpIHqVzxy+mIA3wRTptWqPkbDT4UDoRWzKg4s1Kt7LLtVXPZjBmlXIEuiVXUzJREP4ahk1oBCi
HpBvxm3i+BmUmKrKQ6BWWjF/JeqeU8DDmGOx6kwgajvXTiNaanmLqzUKUXZ0ZD3WcVfuG3eb7UP3
Mx2GLho66dtILNp+jGrRT77dcwjgyxyA2F33uobuJUYJArlcp20d0RhKiiig+Bm3hSPXI2NC4O8a
qZ05Wg2HhO2zUviI9ItYykyZAH/7fpzWcpdPxtSLpzhKDGN9ntMNEPxdTS2mTHQt61pEP4WI/93w
/mLDw7e2af7+84Z3BbRmeMuXX3sef/uhv7s7xB+oN3/GXmHtYPv8W8vD9f6gaWGh0ECjzUa2bT1/
93Z4fwjL2NTG+r9h11j0PDAckVHMeIyf+m2/+9P9z/rn7Y+2Cu0YttGP7U8Y2x78q2GONk3SuWsU
nxmmq8Q3qbDu8b6ve3Oq1CEF4X5mOJEBZDw1rWVNOzBb3gNmCHXsMGwezFa0B12lNP5/+Rr/zZHF
Nn6XJ6O6tDHrbYcHHuj61vb59aPNPZ3OnK7QSY52U996Xq7fuiuj212mRXa+E0P9KRVIYMKUHGQV
m2TdNkgMABgP0XduasF8wIZHFja4xOXXtdEYYkMdU0Bae/Fcgsd1upDOAzvb6GhuUKBw0XGK2pRw
geUozT1uEYuBpeeVQoSG6z9num3JvPucLGO82bxQmKEdKNoHF6X/ElApYwBH5eCd3W6Ajc3ZPZyp
nFp3SLohJHrCvGOCNsBkIN9g6lpOwF5h4CBl3Na+liBlH4juwGE6frhN06TWl50LH0+wsRhJcVYY
XvN9+uFUzdh97qtNfLTZWKsu+jJHsXbo0rU7t3EmDgMPlLcUwidxp/YcOCAXRFyfiXHtH+WHXdab
l4PsB3UFp34ECMixNpUrDlsG8M6ltczlusJ/C1Y4R0e2mXIRHT3rm01XS/sax25eJE9GFCFE1geg
3hrayvv1w+crk4UnZTriUpTrJx2m7W0Hk3I3rx4eYRhmIt7jArJeu76kXd4ktNNgOq0gU/XUeSDm
vXkYGQP4ZeSWdzaQVwzJZifyG7osvfk5izsYd0JLb9e1BdcZMUD1iulx0fG5V4lZnWansQ9FUVb7
BjRD7ovOGfze1B3Ce9HxzWaElhJUHym5OkEAOhIRa1WTj8rfuedbb69cJ99CRwr9HAvTO3sYTc4J
ys04iCq9eGqU6B9rWWfv7URT0c8HrfmEZmC9mJUxX5s0r77HEA33VqRIBgKfimsfvFCxwOw00lo5
jLJGa7+204yYNG+Sl5xlD++wm33FSgNAE08PuhynC+be8cqe+iEsrNQ7WC3dAqVRyxoIeviFlPmQ
0NinZ78y3ezShCXdlTLaT/AtF39tLefJ5kV8bS60HVTQIbS9SbwYcZaAVF+WHwaP/pu2xJTuzth2
LUrYycfg7Tz3sBnIYSTs92SM8NmDejKXhJGipNwdQTgxHbehHwInKSUtMq+F94I1bQm2VFjQSH2k
Pdpzvw0m6Y+evLkTV5DSCZSf+R5Po1w79JoCenwMXZiZOVAH0xoisjJGatB+TPZA0yGrV25kvZWT
hUU/LabucZ2a6hpuG77+Zm3zG9sGjGzWXuQbbrrdXXRWLXgJVjQeRqcArmAobyIeQE/tg8whaueq
++wl0/oqx3Wmpu+tk+ds2hdn8UpMCVCf2Qmn5zHBCLZrXGfR8aSvlYCV0eWeH0/VtCD16+Q3HHLE
INgt83UOi8IdL2bZWKdZrCRMlqD0sp0A0VFeL7VUBJ4shGXUsQN8omcTKf2MifWtTUIixnoGKrd9
YU33TjfSOlgRUc/AJvvilm5wAxfRBU091WOtUeqKhpjcbnUuDtvBVZl4BaPCqCi/RFhiH9LBVMBC
QEbdRPjir7UWsX4gzVa/xUheP9KeQiIkhtQK9Jq/d1ijXgjqNTmPUHxuJmjFd1uy+2egntWjSyfV
xwFXckic8pDtmc3X7vP8LYsVTe4UAhHjSbNz7vp0KbSnxkR+58+Ekz4Y9AbSUOIl4aI0UF32ll56
P7rVbM8Qo6bnGF6pj45gfBBqbI8oHwNENJzI46FOjhCxRxQhbWJdJd6YIRsYu0/Q2tdsF+F5vd98
Sl/rsUwf5DKX4tgTbXTHJKDBIAThu0BAm/Tf6kUnPMqigw5XGMDNRljKXxBicsa3xTzeoFsYQfww
pAX0a7o5nNtFJbeImRED22PP2xWxGt/Z370HT0umPbqz/pujkQTkx56+XkOnIHdkwYPVkT8ctpPd
huwN8wnrQPQ05qPgDxYd+zw3OfBMhNoknUCIWxPNJwwDPDEiT3ktYhvMBNDaZFOYi/ZMVyKNTmAM
BuQVjvNx2Y6aS6iF3sG6Hkx+yVHIEInFW2bqUzC5SDzzdja/pEIRrwUw4o6gTZQaZvlGyBUaUjpE
5i002OssYutf7eI6hhH+Nvf1yZNDuXNsOMwxiIDA1asmbJDIXRa7lger1pBtrOts3Fbc6BZsdne6
2EhgfcMYjICEIWM3dPyR0jT6xtm2ve+AwV3RdUJ21zdJ9YzacnwbTSBBOZHWQVfW82E7l7wWWl6/
sUpt0sYXCYrVyuTohkQuJeQXjCNMX9fsrky3nWFdmYk0fdGv0gqHRVusYCo7z9wvDDVImloH/YuT
KVWFrdMCk1Myps/pVSYNUSs2oiCDFLCiNVIlsxkUO7QKAWodaDSP8N4BWjynPSH2HOG4XMmLZmXj
raZb+cOik4k+R/Yhy0huDU2LYm3TpZk3fYomY0ccqXEbMTM/ccSqvwEGV3s1aGVQK53rFenZUnOz
ZNU3EwYtr5mO3w1yhULdiQiukklX3rgtRKOe7Yy7qAegi2aEsBDOXYxNC7C8LBBp5C9ApgAeCAdZ
CKZef8q85gzzWQPEPbmatTMXXP/+UDD5xi/Ulg9ToqtLje3z3nJE+mlG8mYGTi9MkDCFoe2Hvn8A
48DDGvziTYKZIcDiYhjXqeEIO/DmniwUGMFAxezSikM4y2MAm1W+kdDWvgJ3RbnUrZp3llY/bQdM
2+jCMqu9cBErrJUOGu3JzSiLdh7xGNcKSYUFTroYjN2sIVela5uN1zBbaUJO7COZ35HTC+rPy7qv
Bjgp7Z5yu0TJzEOfCUm9TjudNRCFXl045zGjjqa3lVbtkTALa8bnFiURj1aL8xcx6e6neRZWQB9T
61lfi3PlUlhDUvLM5uDWTpHddLhUZ2wisrxkFJNfOsNrH0h3kN/ayM0OtRN3IH3SXHuzRET1W8u2
OrR9N0Psi0ud2Z5YeWS0+FkQWTXizkhxMp/dJvVu40E2716lW6kPIUE/AU4kNg1trLbrzQG4zTwg
GkWd5i5G7fw8ZP+3rPuLss62PaqN/1zV+S8F883uNyrpz5/6pZMl8OvbOs2jD/boPwo7YVh/WDrz
Y8i+H10u4A2/NLYEXn4sbMgI6Qz//1m2aQAl3QAAuNpcpuDe/8i0L3iP5pdRtk6AqzA4izq0XbHv
W1uz9BePNXJRgqIGBE7MNcGWsOabXW3y7PFzHpn3jmYjOqb1xS6j5+pZIWv6nFswi3a9V7Vff/n2
/k0xJ36zeW6fxsLHuHF3dWpOZ/u0v3waq1qa3EuGkUF4JS5xDj9lN8ialJF5ZKQBv8IanuW46a+6
0gXYSAI00Ipo7aUF0ltW3z2l9FteI4G2j7fpM6NrVLvQXqIf9FzEvP/zT/wBNfjt+8MsTrPcgM6n
Uyb/9olT8lJIW1cXcyb2M3DmtfhMB8g190pi7eAwMYuMSolO8yodeO1LrpuHcuwWQU5Nrb4nbI3C
BynH0U6lUDQh0OgE+HV2HqPqyZK7fMA5QOoCBzFsx1/6pL3Ki8meMYRrziaUG8u/sBL+62WAe4wl
3KDjKVBgbN2AXy4DeyWpCk3RXz4Qn7hrEbVZjCsawEUo6RDOeZ+aSBRPf/5l/taYJ2xXkrcrkVaw
Fvlj+1i/vK0NzMBCzFpdKncVF5Enw4VUUT91o+TLn7/Tb4OOj3fy0G1AnaEhC9Xgn9+pwX1I6ZrU
FzIkrZd2qrviECm2zh2FVai3A5hPSGTMRTPTnsq/WjTbovh10fBboh4BasDYA17H728PIhie7xYj
t8n3X8psAEtTbJ/BXss+JJWg3s54WXKYinYiITCv5Q/8I/1pYlTC+M7sdGayGZFjmSSZyMSWYwaJ
S2HWaGMT6BpZaJRWBIYfMXavw1+Y3MW/XiiX+YkhTIcqkHt1a8n8cqF0Z7Ar2460G8B05UsKzT/e
CS1X1XZyWKr4jEkwf41dEJzz2iZ7p8ZQ6BtilO+0ZNcazx5eRKvOxh9pZ8rvNG4Sef7zS0yA9u/f
Mh1VFpFDxgu0BVtuLf1fPqWDzl/vEmXeZFbbRJ4bKC/ZcLSz6e3VOAw+CHv9fiwXe9iRgST9DoFd
b3TNobAaw8+psx6awuaYJ4sp/orTpIZSAO29sdvmM+F9bhBhxPMHzkXpjgiXzQ0CZ/gyNVpPugM2
rjgWHqPNlfxeztpJebQdVTwYWXwXL9uJshhke1FR+6iMUuNANdIIFulisDdYw7ruULZl10Viu88M
D6xz4qDPW+HTIdXTE9D6LLr0pLkdiQ3T4q4BdYgWrNn8BstLfQJYKDn6lkruox4KGPAw47FNxJQf
IqkJ7PpJHr0yT+/IVapa7dtQEu7ZND25BaQ8ngRNku9oGB3ue7PMP6VMGkC2AbQ/d1E3+Avfw2Fr
UN62DAVCiy7VXohZoJmho0mK4BS72IiMhH54b3bB0Hi3CaY5RCqiVkceNcbkV6QY71wliydMHQnd
bq+hTlP2YfAyPA29U64vrlN3Ya/P6GQQK8T0vmf9hbyv6Z1c5gado4EFBmGRMcb7WWU1N8c0hUs8
Du6+Q9ofFMosjxX/dMcDqKv5oon13GU9jBrCWji2Slx4WFcVCFOcMlVJikwexhbT6PvJ5NiX9uiT
dxkrSe1N6Gr9YTblfO38bKIPP1vqRMRtDXaqjq3d3mNp3RJNPEQClCfG33rzw89WvcoVs2ISc9r1
QKYzFtey27C9GfzbT7rUzBM1IUDcgWsQkRKnI55ZmYG4AZ59nocKC00bOvTzdL8rlIhuGe1vQ4N8
kVMSLDOa4mvn52hh+jloGHgW7p2P+QMn4W0Y0X5MJoSZ9+UebwMTC5IAtvEFPgPH1yIPGhkONL2y
/LqPIEMn3gBTeSokwOk+4lSwt6u4hH5IJUgtY+REjZYJADkyVBnCU9VrwLbqOHXfNeYbKQKj2qBf
bEEXvICmiqNzZUol7cyv5r5dl2Ovs7uRoBcnskQTNkLPZiRfpfsFkOXCSKRHN4IAbyNszzbWlA6a
FnUw5qevWlNCqDZNB7AV/9O1WzLbOK0Pqqq+ZuiPypPZQUIMczq6D4iBTCpv8n3EVTIlPfo0mRiJ
OiAma6pPPIzNM3ELRr4fGj5BWCv6UyEG6pWUBKDD003pUmFSH1VNR1y0GM4d+kOYnJGJ6wMtCJcz
lT3nE9xD5vqD5AvPwd+lCLyDWpG0J6GnFixnmW/+J7QtAb6NKFiHCKImGN7Gu8sAG1q+mbYQ38om
W7UrPSqsvWiwBfJxPdmENF/W+pSkYorD3LOSbWJGhpXwyFRh+cRmy0Q9JYlKzan2rSNEZNGIUctd
44K+JSXB2x0tzXxciskYLk7jLXVQEbZxYw8Vj6QYxzo/4JHsZe6jNBHVM17sKjm3iH/mfT/Za3ol
VKweLVinL/YMSHPnokIz9wOx7WYI6hXWNqlJGSHlZpuDiZ+iMBVp+1xMEyeLLM7GT73tTK9Nl5jH
UcLEBlNog0Cnh8fr2EWdzXSt4ewRiEcnu1e2eBRK419MjgYkW4lFzuFolFmKZcUwyPeUaJBuU016
2BQ3nn2VZcDHZdEn/d3/Y+88tuPG0qz7KrV6jlzwZtCDDoR3DAYpiuQEi6JEeH8BXODp/w0q9Zek
NFo5zx5Uq0qkGIwALj5zzj5yRG7nq/XAZxMNBS+sZFupHXiCeQ/kAXB1M2FKm6Wr4Z7eidYL9EvS
EPV71V0EGzuJ8687CSnm4jMaMRekCry8csj50WU5wemWOgZ0lP7O/MvPL33gfOJ1MRg7mxZmrtuu
tnirIrDak++lPbdOlYVpfFs0Drd801EVhPwdZ6ouiuim1swRl55RRSof99DI7pSjlWoXsdrVZBfC
hTBWYDrhwvPfZ6o0D/DOx28018miYMQHtmoPjCt2GVxYKdfFGNovQ0EwGfwWYPiGkGp7CClzk0NZ
FWly5/K02LSFqp1rL6yfTJYwNU6sKNb3JSay7hBExMsssePWJC46o7GpdN5WPG31+Jpm2H/Rv4Pe
q5F/px8H/IHtlgzH/G2EFcAZEtez5cYm/WMVE5Hdris79z4qapDjCmPzunBMjjnIYtGVGXh7QGCT
AH7WGz3k2LMA3PaR7j00idKHq0wvZki7EhjezizYwX/JOZBHVLdcUivid7lGEovUt7Xsp37FQwb0
p9Z04KNxVYueJy1zeErvOnluvN67V0bK9P3kiUb7LFpSnhg8a05PlC9KSAjA2pzQPCB431V8LAOu
Vc9eTwycxAnyDwlnfVsvXKeFdi57azsNmAp8QjJbxkVZWpanwobpqwhSxFZRXeT9jAmqIt+12jy6
pxKBG4nxgJGkE4OlT6N2ILtq6N2ap8BY32VhrcWPWokLHgA9Fdj4AUUZcQQRzIFmFTmE9+yVoBo+
RSGLZT9zUI/uYqTXt7JVAjjzHSuIVTx1XKSxLhLjIiHcW+fcrub0UBSh9snUcN75DCgHdjSEneaY
kGGQM61xcs4ODFQrTRoSL0xGSvBmcmuufqAJwOxHKB4tiQOtXX/EkKDdJ8yoAm6H2HvgWs/bS4Eu
nwNWr7xk7YJhHvBLPOmwj7H1p2nvfLD0omYyaYXCJP85c/trDVaNmMSQK3pVvccr0DiM8hgbIi2P
TlNFxoWo3MwGkTqH4MVSwglKG6UC+dGSObigGuvEKcsCXn/jIQRoIzfFnS9VdTfWjFmxVNoOAQBB
5HzlGP07SfnFJAXC2Uzg+etRyi7LyN6K2x8W5F+/6duC3PkNZhohPBoEOpT/80zk9xW5p/1GqqDt
GqB3POwBc0P130kKoxdkRGzB6fagJP5XImT/5pEK49Kfs9qGmqT/kxU5g4of+w2TLpje1aIHh36I
BeGn9jW2YxM7YhvtZa1x9QwV7b81Dwqr95khgwBzOUf83VVpXWcLEaAY8dXeZd8atqKstw3xtoHv
zuPI6X0yCaCfKSVuOYlRdZ5dau9zzHQeacKeZbqJHJ5J5wjliUNCbznChtytF1nAZH3Rvc9IYR7Y
R3a0TE7beYg6vc9Ti3m0ClfOaFa9lkgmrjNRpW0D5rCmq9SfvHk4C0K6Xwqy0lbkTjG75fYXrT+6
FlRzLRxM/ejpbLxbL7dPA5C5Rd5313YeCDvvs2H088yJYXvFd9U8PCYpQ5wbDEDXPEFOu3JkqUR+
4s4h7YWlhmCIkuqaYUba8M/XK20qRyAqtrfXq4YyI3I3MtYbZVZxltSeFoUTw3bezAGV+1JaAcxt
4egfYWizSTCa7E7TJarRyHwO+5Hs2XL0lsVkGJdOTzAElYz/I02/RDZ5a1Zhg8caYxvRoZJdDEfJ
2M4OV0sFxmtlWOwWlXSiVzvQq43plIaPqSE9aHlOurAt62tPM8vbHsXhCbaueR6iwuC1dVN3VIdV
rZflOaia/C3pbY9OxhzXrRW7fghP5Yo99tVCV7XUiPbxKdNrdqH8R2RNHz0T5wA6Cuj3mbUnFYOE
Caq7u6RBg2RITx6MyhkucavWt7D0PiW6Eb1YpT0saRYPmUq8qzXDE209YJJuV4zCS5nfZU2a+0XK
nAdfJi0F7wgPwhQiRiLOikw7n3q0/ZDKKViYrS7PY9zSH0oLGbLFK1UI41mqfRDeT66DhCtz5+Ij
IaeAfzZJ8DtXlXYwaEz2o9p9zvh65tgkjzt9wWOfHYN3dYj0AotEeO/UBEmA2mqazpSjwk+qXtmk
qiw3EzSGq8qWaOHYnTjSZZiHEWNu1RiUwlz2p1Ia01PfkEa5UsTsLU8ibVmZtPALA1Xdsk7TYdMl
Aa0j2zDb8No9BKdTz/PZWUyEJy1q+CWU9VLZIhkgxhzZWr+UBPuxHVWEj7f0QQHCEbXT1Y1HdR04
B7OfDQ118TgOXXKJjOZGwYipjZg/vcy8kkeUrQq3em3Zo+1YZTyMBP4t8A08505DZDYP3NHPYx1f
CTiRYv6kxs9AGRjAsn5bsIj6aHZQ0PvRC7bV0CunAc7wCvZNuExU84nDsL3RAdOvlZYgyywN0SQS
p/pg2grrHyg2yzxoVFZGOreVsncCLLVBrD/1TsCO0cmbTebU+i5p95OI2ahgP8WFwOo4PhdBy/OP
cAClMdneIpFbDUMVr1PWNSAKkhYdi5HdVq4V7vqEt3mcUmMHBZnVimQbVohUZ5JQUQ+kkhqi6fcE
9Aw7Qn4D/CtaO9wOJtG6zGS3Sj3iXaDMoN1gO24O6l2RKGbmLWut0RMsnIORk2hBWcKur6yRAtj2
5N0nBgm4ps4GOXLj4ML6Nb6xovalQI6wY0MG8DzWXrC3WmQoABV7bht+ZQhZ1bKpMv0QZkW+ZkzH
Ja2GrJJz4FLZGGWXkWN3EUnOO4ZyJV7HYnyeOg+eV8D5zORIHONRjs/eKKmD8lit71jk3xUqtTE+
lvymRBnBsNrLuuoSWoG2M4gXbimNTYc1nEWNyWK43BF0HKAeKES2pNr2riCj3sBuDj4sfG09RG7W
EWFFo4TlRaBUJnkdgo8Z5wSx+2VnwSQiTFghWzua1q4u8jWyJfhmi6IaMkmuAWBwzdyOffEeUx11
PFuU+jVVknKkiE86BO/RoNs38N8QtiOnd7dp5ybTUZqNfSt5YN/hkuQWScFWe7tG9NZjq8XNPpog
aOEkNaxPgqs/9jUazcgHK+6w2bUr51pngNPoitVmXwJWpFskOld4SRFuSSXZjUDMb6Ksy+5cJSFh
tcELtmEaxYXrTUP0VOGIo58z863GDuwFiLhKko3bYJcKR2EeQ9Q9Mc1B5QDtHjrW3JXL/WH0PSHU
clJuK472N4KL1WHB2mM4ib5tL6PUscExhpesolnqh4vE6hjDmWx9PxJWXL/UjRo/8UwOMavl3ak1
pvwm6C3vTZUR2B6UmMZVYSn/UaFOPucqxiJIj1+QrtqfrcKzmANGRt0tOqvPVqFnxvBP+h2LaiJF
qR/G5Ug6Kp7YgHeRcVLkPnT9aB0zu80+K4maYGXvdH02z8XDbYAQ54HniLeqyDFfd+OoK3AWnCrw
tVSLwl1DbfuaxrFnchgRJOWlRX+RTk2eaT5GyiXGeIhd1sibp2QM0rORVWHIVSxMx9e9fNp5XZ1+
NkWdXglbvsOBgWMEaXywSzVmKEzguVmxbtc3U41Jyaf9IEsJSlMA3Quk9KkiYuLJGsbhS+BG9TOo
0n4Na5K4BwXCiLeQNbiHRkv6S2Fx3iwM8udeTXVsb2hl8WUYCnCnzhkr0P/KUD17oSwIrZuCDkis
MIZlEic1qGEnTz5ipzbNhVsa4opzj0RhRRr1GRJdtuOeixNU1ipAt9FkN8Ur91aG06hPgScCc1XE
Koo8rVcYK6KJuhKCrW5ILXZwGnUF3AloEhuO5wTrjNbn/sy7O46DqPcao6KlXZlovHv8UxkrE8bB
Ffl4bgOqTyVG105wMVkRc4GF1la3WtcKVDqWd8yUHkmEE5RIt52k2rGkooHPs6J5ghIinEUcdux+
OtQTj7gEq2IlTI88DuzN05d5uX4K1KFaGrr9yQwj74MTFflLSQb0GscVobQc8UFOiGhKohkUD05E
S47qLnZU5+RNpvPcW022Ba+L21wPrRlFY4zGJ2dAfC4CzXjwRESUsZsbkky7pm8XYC3KLURO/pgi
zXO3iRGNVzcN6t6XeqS9EJus+1VhVc/wwsStBTcU+YnU1acO5RLmTXXouJYgHBJt4WifvVqvydvJ
8YSz706Cx9gTxQfMLna7NopIHrq2QxeWEDW8RNhV+7ljpLskTC8qTeljXTjncOwBkUK26oFvYN4k
M3sU3q0pPBUTkxkuwR2C+7C8Sr+xM2pDVwudDW7PmWLU9OYnz8HfuSDXAGIV8pBxkaAKY0BGcBcw
gjZWN7gzw3Mr4MUN+hTsdCJ/N5NpieVEsAYyObU7kv2wsjuipUj0IXQ07mzni012QsSkE0ZBaqMN
C4ll/GSbZbDuS9x1Cz5N3EEVo/xTpEvyiyizCC0JLJXBYEOYF9lgZvK5Uj1Sbhg4FItKiTKOFmM4
lUEdfcwCmd3HBK/D+sMfRyhzd2wqyUpBS233kDY5ojKVGjEfwr07EQzClKzutm7s4Zos9DB9bF1H
axZRMCCCiWKLYOaq0u1VHUzTIVW0aj9gzDnyG2ZHHfXDazDFYp3HQmzzqu7XoYc4ss5CCAvp9LEa
5dD5LIaaF8aKzsXAIvWFIWaze2/9/u2Sf9ElY1SZDe1/3SWfv3xqXtr05fsu+fdv+r1L9qzf2EcQ
HszGy8YPP/97v3fJ4KhxyLMjplFGyO2w1fvWJJMRoLIrQwXwVWOOxPx3Hw1d7j/QjRM08GNTTN9N
Z65h5GH6aAON+GmVDOtGUWcGx5GEJq+PTvCRdN1OeSjXyVgcGWyZY5Xv4j6IvkSdQu+KQGa4t0jt
2LWTCO6ynFTjRcHLP/EgsW/0prWPMmExiQZLwW4L4wwYl9Eo6wLa1yNuuvzcuE5NvpjudSRQufFZ
l67hp1YTsrzr8dlWWkRHB231LEK4WIFDbCdP/fySptBOxcAh5hU2WtU5mO6hGYcBTyMOE8akdvHI
4Dh46NRIYTXrlt41i9z82ujiwXbTacdzXm5YdYcXu7amq6plzVWGBlpTmvCbKRBypQyG2AOf4yky
GKnf2xrbs2h2T8dpnd13cSJfHCevtwinkWyZkw0Srq7aC0qE6GOdpx2wqjLh0RD2+tqLHO3OwUB6
taSdrHqVWmChqIU8NuGgH5GEfcCOQkqnxgCjWZi9QX6hUU33WBaY1GryU4qIF8sd6t8tY8L4WMeQ
G6kirfYZysxAW8Bn+CEj+enscpCsFRFNeyLEGd5HRDIts9516PvSd+e3El90r022uF9vhjRBeond
aDlF7HhadrVbdSgHAhuK7ogxFHCnlttAivNhvBuRKq4xUKY+IEn9xiUjdDuiBDlR0QxHkwHsloAM
4yUxjXJPTLe4s109k36eKumq0CuBFyfSQQJUnLgT/deaQYzCqDQrbhmyGneCuf8TyoPsbYS6eq+T
2ceiSBazll85A7hah5YqHnmvKCRqWXiXunXzR6OJ+7XmVsWyELq6wos9bQYVJgLKVfm5Htr2hoat
PCbsln2MtBTsCRcOrn/F814NI+GBUTcaRzI74SLzZRZhrLWL6LZoezVd2GxbVmMA1ThXy37tkiW1
gOD2gnTPPRRzkqppWNXZJM/e7wiR97FpEonZhkz9NcVj8aF4ybGaTHObhZW7VZEvf6HSTi5q5aGy
TcPpJrUSpK0JS/tXSihK0IAwQjCvg50hY3Ss7lDENhb5Kor28KBhg+dBskyUzHqMtVz9iFCZdSfe
CpCqbXeKHSgxC6RD/W1DOPhTnVUEhOMBl4fKisN7z0ytm1lP3bgV2Yi9U1xitRVXluC43Nnvjouu
n9KcaxKFv1XWHR2XwAjHyhJCcjsUyoAS1A52RpLwRPY00D1jQryfyx5kIvSxlt2CaMD8gWOkupCn
PG0LfFMrSi6LGLNKPaFBBznb9VXlO3XsrpDnke8V5uFNE5n6DIQwnjOogcDslQZLF9PecCHdbryz
7dSAGFtkympKtIitPdz2jnAlqjc85fSASm1R6VajepMEhqb5Coay/KywnH4A5VhXTCrKoPLNug44
SeJqWk55+TnDyeNCM8jlyWB6DqctteJ0meA2ewhpULxVwvAz8MHDyaURa2yypwQO7VrKGjsXRjJ5
i6lO+9iAw+38sGJFUK8zZOGqPOFhcbF4LYyQ/lBfs8QM5/JgGG03xLHAGuYuYMs12h9CJ6/EVRgI
rbaIO7nb91Olt8rkCzfJZbU0yaYd7ppEhu6rCSwN3GCEs2GwPuR9MtTOyq0sJV0rdMLJ59FhypNu
EKo1DQ8uHm7/1gG/qAM0jPd/Vwb8H8ac8ueooPlbvokOVY88INUy5sBxqgEL6cu3IgBnrauZlAbO
DMKZh97fqgDDoQrgu77KCvkb/sFvblrtNzg8c1LQ1/G7+4+Kgp8tW3iuUeOQ54AKCqcvUoMflTl5
7bStTO3hSBByJsmddAdBW4SH0i5VNo+9q2NxqB0xdZtUzzPOH4FrXVulrE/bez0nRa1ZsDRUdbIM
kwbiBowRbjv3LrYL1k3C75IiJiW8GqRZQM8ZEODANx23WNQGRs4F2uS83zXQTFqanUnAe61ORTYm
xbLvYwzoHuc9nt1E7ksl76FF4vI4Mb0KmDvVUOgV+1GZ3agYK5zQVyVDP47YY5K38SZPZIdBAH/O
PVzqqfDjqBvmHfq8cCYjyFsNlM4Drptpjm0F7nyd0t56USsdNGwBqfyEF4sNHnIEbL0NzykQ+Eao
ZptCgtSVfQPaA4EXNMg8rJ2z5wkQBu2oxptaUZCP2bPdV7w7fxUMqzBmsANXszE4efcIO+9+4cJM
8A7DC+tvdELgn8RsLR7eXcbQGcQywkca4r6YfcjtbEluZ3MybgNsyrNhOZhKx/absMauAJsPzFfQ
QHJncaZidQ4yMF2DpWWIqjDQmVrar+ywwjrRag3zvFKrlmBZBvTrBtJCyj5rR2aS88DqQR71d5VN
/K64id7VNz2X+pKQaDQ5Neoc/V2nY8ySHQ5A1Dv9e0v9rumx3vU9kKLQ+iCcIp8Uxc+2nqVA8l0V
pM8CoWGWCuXvqqFRnxVETTiribRZWOQEsfoCJSRcUzbOKLtg5nfSP77ks2IXUUrOLKGU1R2E1uhA
/5c9lrOUKVB7bYDaE4pt1rN2XeoN4HZY1ctuFkIhOgStXEUZz3JKL7RSYQgtHpegZF/beDfSQlSF
hXve4iO0IsUAzVU5y6/wJM0tbdRln1VkKzsRJPpOzJItm8bzmbsBHVeRaN6nIO+ZjqFV69NNKGr9
Psjibjfg8VqTPokmzGO+e+ea/StnurKE3T4tg3cVGXcAiRkOci9/fNeZhbPkLLczc0+0qfvkohbd
9DhGwHW3k6bhcUGy1r6r11p0bJaZNefaVadP+COCJVPB8YF0gXwbvGvgFEWlea1maVw/i+RGslPO
tZWgnBPvKjq9ZyeGQ8hdaiD8PthhLaBGeYApvRiAeJ3NpgsRZNd0lui1E/6mXuQbUbpch05AGLEF
QPfWimrkae9Kv7Jg/MfJwlblUKGaZzQnqhvW0B7aMjX7wv553NVeW/oyAg/SgwCB9C5eE7Q5yHQG
DNoMnrYJxjG/NPUXOYwfrawBU0fOglwyD3GI/KgN1L+zWR2MS2dfBrbrqD0WqQXQpPkqv/z3qfiL
p6KnGaxc/7o5RoQnmvhV/Kd8+w/Kxy7/FP/QKH/9/t8fkQ7LXzLxPBcFMI82fNf//xHpOL9piO/n
jhWB61f4xO+NsuH+NgfszMZqNPmmY/+3UeaveD4aZPC43G70sP/McP1T30yID84A08CGxtPbNubf
/Hvx6oivR0NYpG5TOZ9Rb1mo3EggksmsAByKLVuHfatiXgm6Ry1VFonRfoWX/MDA+A/5J5eSDUP7
v/8zc/u+Vym/vwRj1icb/M5U2PPff6efLS3brlx3DsJoRvUcmI8jel4oBCvWJmGKoUilXyPDgVm5
mQWnCnTsxtHNgiHaExWkP0XQo5BewD4FSOwy/Qem4KAkmk8P0+oXsHuW6HaihVq9mjLni3ClFXRJ
6XMCeGz+48jI14zHD+1UYolpFy3QUMvbmsykIZun9hGeVjEuJlWwwFBYhxJ/wd5yNIqH0aUd5JrY
SvrLHKMSqX2HsEPsGScT40Mm424GAI69gWUx+DUERPY2PZpKd5vRnuI3JX1A8cSt7T1phrJqQ+dl
ankFeaKhI8VrZjs+bGkwtRGB09myZ8qPSOwqFYqEemhW6CpXQOqfO2CCG6xKl7B1DolWfJrCDrts
6tfQGzb2xMsYhJjzmIrXXJrqJk2Ys4/q8FrM8027a4+EWluLTK38ym75YdM6xogX5sT3/FtyFyIW
4y8OF+b2NrOpvz5drlH5+ct/dm32Unz+Yfz29Ru/HSvabxrSfqYQ30Ql/z1WtDlt01S/ile+n74B
rtSpg7H7aKhKvq+7Tf45BmjIbI35hPoHk7ivEKXvTAdz0C4lAJM406TuR4jw4+1cgyJnXuyVUFdb
SJFjVEJa1gU5066Xo76zHoe870/M1OIFNPLHLLSUnTo4Z73syI7JEYsvq9bMb70+Ly5Zpz5AtAlj
kIl1si5NGLJTh2y50RyyMUbFwdQKR9ZtnTO47xQYvHZJ5NC8eEZ+4rI/GcqA56IKlqKxPL8bcq5v
BNuLvonfoMnG5xwRkF87VcGhUNbw19xpgfaAuYA6HUpPvdhaCw6uGV5KSbaHlaIKM0HRNCJ+a7OE
9BIjHFdO6Z4dQ24GRhY+Z9UbS7LToPXXQOLZJaCdFXJ66sbpgqnvoIZ8FWrChYzil7GCrl/W06sl
0n3Wa69Uu4/12AKUDDK/ySPjIyu6bdy49oKVh7dCJM2oUnHP7K4e0z57cdRJW6uzL79JT/M7IHLo
c+gS3pKqIIwqFMnayBDcGrQGoN8pzfqhvw+N4eoW0vaxSLHly7zXIUi9DUK8LYkRh7TTy92EoIrM
YASGKlAN0ON7PeoAa6aSdKLxOlTmY2TA+pPZC3rGF4h3ZyfCab2w2aya/EK4Md9KMV7MjM9qNMS6
9oipUsx0P2GnX0jc5/MKIVnoJW+UHgHPCCwMjJxlEbHyHj2W0hMbXMVQyZT5vYzyFxb62CoRA6DI
AfU8/6yK83sFM52iSL0InYlMNB00N2SM1auHymF5hcH5zcj4MkuLT2kqDzofzpbRqs0gjd+Q0PsH
BqfBIhM2UhvPUJaACoYFjVqyjDxzOjZWsi/H6aExayS1lryHd7mUY4G/IIKwH5RE7/aDh0RUMv+a
DlStsY8aMQbY4zzGUv3k1saNN8Rw38hxpx3YTkhmtjCa7qfa2iLNF1yoxjbM+YyIJMr8lPwRKODT
wS7HCHUEnydVg7EHJumt5IRPpNbhUVat+gAl9tUzBrHIJQtAQVw8KtL7uukI2srecoy9vmqzJexy
eW8EWsQMXBDHos8SLZRAvqbF4F7n910rbJo987Gsi2Rtm9a5QgO7FvP38XsiWmA9ORj2Y+w049aW
XI543s6VrlTPSaCAi02icdkoQX9r2Fx2mQwDEIEm+VR0kNvaGfs9+op+1zKU3cleUW7SaMwIE6vy
m0KpRoLPwA2hXW99SADGK1SLZwgV9lEDNcBCV5ZxbS4bWJrJ0oMmuYQXObwEgKIV+kg9szc0dMUD
efMP+Ve+nwl2cZHrYN+i4GwW6XMDM9JPZYY2wQZGYcTLSozEpZsSTU9DoiBTedmw75oBggA7zxlE
wWJGCw6K+VDOsMG2sywGgdaLLMbmtShAebOVjlYZAg3XGelAJoS6OUKKpY7N+qIJJCIhqEu4s/pr
qZWE1tU5GJNe9W2pa2vDKfncRm6Bjp0EhC0Nwy144BtTdboNqgIsGqnzOCN8O/TPhNQ0bwj4D6ad
/sLWNI9GfjzFceVRYs7uSIcZzk+jEzb6SAiHtNyaPXA8o6vFHA1/jq36NAE2+Npq/GUNSBH8h58G
k0g1iGiHz2f/VIXC8+4Ke3SKbcitvqRV2uuZES1sVgW/+Ek/F5suJbVhsYzUVZWMavWnnzQ4jjSS
AOilLtIXb4bqz8dxog1kM1H2lTv+pK6/e4Bfvr5rP1S4f/ztcNLy5Geo5c3/n7//rsANjQLmB5PU
7SisaGW1/T0KmMwncWM7KOSWzb9vlk2HpuV0+/sfbczms58+x5kkZ6lYHi0NZeqPP5uo9WFKRrfY
tnljLJMyd9E52dF8XBySMkm3GH5eB8iUSK76fo+SnPsWCgEbjvF1LqDDYjpAiuSpa1hbzyOfkDXD
ijitw2BzfBMGDsuBvLa6TJCZN+vc6q8yDx9UK2JgIM1z55LuJ8vS21gWqfehhZjSdDke/v43/ZNL
yJixTBD4NJWp2k8frJ7FXl7SFWwjvV2bpXpRvemST039i3d0nmn+4R01sSSyrHDZh/yc3wygxqXS
n69V1Hc7EpsuoxabK8wcQJttL1m2bnoSsCluSR+5gG/Nb0kNh2c5hW91z7k8lyrJnOuHZPQADTJA
at/dEyByNpp+E7kc91YV55DzInsDg18+hhiRNgyQqpWMx/jQqU17LVL5IBse+50em3sRuyjnbAHl
rojfgtiyCZ8A6NpIt9xIJXkLyunBJVByEjMVuzK20Whto6gAaZwjuzRYqKToUH29my7OCP4Wa5m2
9lycPFY6+o5GjfX3H9ifnDBweml/NWJTdevnLFNiZMsaAWaBXUF7LyckJxsQPxtLkrH9+59Fhf2H
zwx5Nt5NQqg9et0f74JGH2MnI2Nua6X91WzjfV7+6sB8v5N+utNms6pJt67pHhFYP/6MOKpTkalq
sS29HhRuLHUf4uDrfNLHkzEyJQ32qW5ugZ+eh8CLVk6R7RUZfGSS+IlEArBJ2LXpFRO8SQkP8cjj
dKrG/KRBpJ7swVgxLEy3GU5bFmwGET7q1B6z2F71bvXBFfzPwIHDnTnGo59Z1C2ahr4ViEy11ht9
znGp9Q3IRPJs9PjNKrgE6zg9ERC1T61wJBshoUDV8EZYGmzkIgJkroprWejRyjSmwy8+kz+5Y/ks
PMTynMMsD/Qf37B5kUpMB7lfWkaj0Ec52SRsiumFU35nIhcQr4BwzEb3nFs27GCms8jp8huRcC0D
MFmRO9Oth2DWrttaSdKm+jgklbEE/jot0t4+Bx1z4y6wzpGnJ0tUSopfkdO7dJLxQdWH16kl3cWB
M2JQHaJlgWYOLDuN1IeRQmxRYR3dGNmw8arhGjJjWyQN16dZcfC1dk8OLdQVxK+Zt9Gt6cGrmv4X
edR/cpPwzJj/D5gX3dtP79HA0D0TQ18AZS+WlDh4hAdejskQOajCX3wipMP/8T5hV4IpE8qp7v7h
nqxNdFu62RXbRseJqNktOfFBsg94Unkan89UcklOjHExAXBMAeJ6jMPsZEOlW3RlYC/KwqvIG+3r
lWezSYyzlvTB0f3UptpR6d2bzMtb3J1U+7IoDdD27StU+qvMxkNO4tJivsxCI30hmo0qFZVgMqmn
uiMTVkIsp1xlzpEw4uEjfW8vJ1PiZrT4Qq8hPEQRfAcS5jU8ZbHIJhHtpCsv701QUMgSTHxa7otu
uI8FjaSbMh+Zalo9axruGxGqDII8NiD9PTL/CwEte9JKkfk53RKC1Lic/6AgWCKRfL4gq459vQnJ
eb6NWmnBzRzuCR2jgcCox/1UKX5WUy2pQXKSNdNmp+KrG8V6rBOLWwxL9tGz5GsjII92vMFJFp+Q
rOZzABuPjMx8TKL+OuDvJzrS2vZFvlf6ZD/ldc0WgRuYcc6ephjgKE+WmFjlRcvdYQ/ilGnWM0au
Yp9q1rlve/R9zYj4ftiQWBhvhropD6hqzpkwH/Um/tXz2P6T25taB/0hjhmuqJ+DsTOcXDVDx3zb
OuMrAoQrrLXzu1MtYA62nOuv91a7FJ7GzI5K7/2eLyKxHgci99DtvBZ1bhDWUyQrZIfg6PE94LEO
ax+xUrHyZDduccIQvRgTEwg3KV7VBQkIhP56p6rx0PqFPBfFFHnHgrPcnxzjrCucMYkYH3qDcktt
DHD8aoyBMUTXkblU1ijkdZ6HkVHygYSU2U7S3Qv85QvEN9cGZ63vddkJgfbVJHJxg5EGSEaTGkQM
TbDOhvskyN1lrmGGxQjyareEXjaswh26g20a2+eehwhNZndvoLiZq3nhfHu+/ju+/9WEjRkyNdtf
T9hu0uwlKvMfZvb612/6Jm4DmIOawiGBUZvbBY9n+be9tjpr2LDlMXvnPDbnx/y3of281+ZSd2zr
+9maYfwGegokj80Pmb/vHy21LeunM1pj+A8xhQcCr0Cb1wM/PjYbHNWMbOCumUJBvWFma1LaoAXk
wmUfVUTlDj4b0DuBvMdapY3dKR8iYSWfM8fWS4iWSlOxKsamHgcbhVFac9+NdXbAZhsnF2EXzTOj
MefJwq8CWTLMDmJIdNIF8SvWahzne10G6dpOPSxbfVIck6pWgESTW3bqR+LfN/mobWg7eqhgkV6t
gYQ13lNPuoK7dVWyBhtRj/ZjP8iOZgSbHfFIcXRM9FKYK4NCqPA95EXxSy+U6LEjNzdnNVDin6za
jlG8QKgqcNiwrjf9Tk3jSC5yMG/GcM4ik9J87WLErs4kjPHrwr1pnNlagZh7S24ZUqpVXtaqku8L
i4IRS44eYPZbpjhVgrOLMBeka5DxftbI8nKYC37AITcsO+RFGlG7NOWvw5C1w4TBn2ePukiL1kIo
gNctYIDZwRcjHLgrMHYUZF/mvhQenlLsI1NtsspMyEnzU7tnEsBSu9IjJ124CcP25PMUjGNrIUzL
yWhf9mEZmwt2HX240UG6NWcnF/OwtGguKhy1BaRQYzH0Jhr/Nip2kaL0m5Aa+g6bOGRPo1V5UqNO
uoUVa61trxpfnCpJVwOOCJIIxggSQFuvUSSmR7B0xgZbTI6xXKCHKHp2onVRclD1Wbdze9BvXZSu
87xgjmhH4Y2lI8omIgSOK+qdpSlIb0jssNy2kxfcNvmQfwwKBYsR8YZgiUDGAEqwP6RlHt4aYd1e
hqh3bjPsKU8QJ3AnekRs4KuVt1wPJbvqMn7IWhmQ1FiO/4+7M2luG0mi8F9x+A4G9uXQHTGidlu2
5UV2+8KgKTYJEARILATAXz9fAaBNQLLamnLMIAZ96WipU6hCVVZW5sv3PpPrUfQxCpVokjnw4xWa
LwAJq8ndclNSfVnaCnyIkzI7AfxP25uTGK8n9iS8UJDCg7KE8ml1t9m68BnQxvhpa2uQL1TlCqXS
yXJRjq1ga5TELolTjknx7a8iYj0bWTGKK4D3s6uCcxOmnNXizoBg8pUH++uG2pJVfDQ9DQZzF/3O
QOgGhn9rhWlTZnH2gNcWKFWdrfSYhidy7+8o8jtXyKZRuXFO0yA30RkySmgVK9EzgeQe+BSq8ru3
+WKhv9JK9OBN08tPsqDiW+dhmtwuQzu6Q00iuthNnM03yDA/a8Dq4epw3Wu+NE0TG9j20EV3b/ZV
WN5O6PC7jswyQcjD2H/J6TZZn3tFqc+COFFfQdkKD+h2azjX9PMgyBFs5kLC7FKzIKFdliuC6YkT
kMZ38y+qHYSfq9Xe/0yi0bfG1tZdfd4qkYcCETuMEIzeJ9IvZ55TZOc+QqhFHNjjteuHFwE5t7e0
YlvXRZl66JxWqwDRPPSA32qBT2Rp7YPlCXhj/10kEDEQQJbJOEYcj1VMzAgyoAxP/ExBYIZuLngQ
8s24mBSU80Sg6aCrOV4o6hhAaXEd09JOYd3S70xoTt5mSvLJ3ycfgo3i3JdWTN8meHhQkVYBhHms
b/bBR2jiTVgrqwkqseaGZrYU6TZ/cYV0hnNTFcmWrZGnH6ijIXSZqPHMzsHZbYp9/M6YePtvguCJ
aBHidoHB2bxaBAvz02JJ2tPehgCJi/W2QgLeW9yYupb/lYGJICyBbh4SkfF+pWl7ehySa4AMi2lq
LP25oMoYp7vtaz2fFGdQV5Sny11ufAHh4V8aSPO6J2VRVK/1ErkjE6QTzVIZSVj64pfQtG9LqFhj
WgpOaFyOb2mno/MBhmDy03mpERT68J6FIFB2AtoflJfggMr3cWFCdUHiyPiwyybut1Wxhmgl93Md
jcKQ5DbMzNV7U5m4r+NdZE1zi0gSCSly/kg24+dyFbL/hRbRYYhwLiIztOzeOJ6mfaw0JX2D9nuO
cF5O241mAHE4Sf3lFYmpHTWeCpFuRdPjN6mPrrtXWPE4U8sZoXP0XitsQes/gdgDTCoCU5P0ygLd
fJGRs4XdgNwuYCqQhKgF/h0r5r2/2epoO+7SjNwzKEgoGs+2FF3Y5MrqpiiX7o1nrFavIbog2Rvs
Z0tV34JBhinYLMtPsZp8AA+pjl0tAckl+EZox1ie+5pm0Six927pG4y5hOpLarT0LJG9XL4JV5AD
mTn8KkmUaJ/9rWVeBMB9z9nvswDdn/fo+BTjJXzEHxcOhP5ot9MdEazWZ0kyscIbKyazbKXR7iaO
1MUlVOewudlrO7swoTO6ZeWuTyPVow23ipN7GDgUFaVCLSTsMd27BRyd17xhdaoXm2gco7JIK+DK
Wr+DDsMi11+R4gRePFZTtTytUtV/rSQL58SOovgiy8uc1vEy+0tPEtiMXLLRO2f1NUu1b8F2sxrv
OR5f74r1Akws9JnvTHdL8SaNV6fleokIkFGmf2skbc+oz+QfAtUmPQ5dE8w87urcdJFVBT8/+YA8
dPrGVp3sovCMLW/hJ293i8DQzoK9l4gK+todK8lSuSryV4lvLsdWVHxLVDP8uqUz5HxRuKv7NUle
lD1hI8ftfaWJcZ6s/PQKyTEHWpAVWBmLf5tYjndSkXO83PmZeoWQr3m68zX9nIokHFcbJZh5gWvh
O5fKRWZFgMrSSXgbZKFxraeBf77Jgu1VTkBylm9D7xJx7PTcKYm8FDpFQQ0ud6/8NYW6k7DcbE8z
TVFOqUuh67qJof6gBDqD/gN9dpMOm3xBF1a1tC+LnbEd+9bN3iw2l5G5hkl3A9gr1qzZVt3c5jnK
YxHg+DEC7xe4aIWOKuULaUb6KUH6UZTfE2GE0Iav1PgNl8pbR00vvHR7saedEAmuVYFQX/TeVSjA
BWhX0K+zcU+2pBhObB/JbBP4dboPF+cTkwrpWlHee2lZXIR2DuihChZke9e30Ma/q6Dtpu6jQuIV
K9HYDivqsrlgml6BtwONfprtAaybi5iWNujYL6KdAR2s4hh0KZcw63iK8xF5df9yH0zQFbe0+XZi
K2eArEkPrOlb031Ij3cTuIeRHs9vC13zZv662p6RIIzo01WoL+0iGCIR4/a4yp3srFxDO26TX5UQ
6l4CQKfm4+/d63VW3Ya+9dWcOJ/qC8L/zV2qHcjpNJue1SiE23yeVO/naQ5PwqGaL35ag3A+xv/Z
Lz1t6MX8l/APBteg3u2sfqn6jZ+yEU6BV+T38z9emjB0oB+luuTEmuflixAJzPbHCuj2EQ1Jhs5S
Ofz8Bxz8qWl4eoTNfD79O0+NoJmgq/s/XhqWqpPK69xRnz0LdFlxQ+UfbrvHw3f0kW3r4ELcdnrI
zAxr+NAkurCWyA0fNIsD9YgD1KV+erPgGXC1cB+nG635OanVgc0Czk5yEgxA9gABVfB7zUInGXC8
FDydRAaZArIPzSQMbylQLJGeBXdEHsahnEs9VzwY7MyCO4JMDdk3Mjn106y9I6f5M7f49F7/ff6g
gYxK7QcBGYV1CJ+Iez0ePTBToakDUJClIp7G/Q5o9BRRTdk1IM4Eyllk15xmlHzj41mg3j8iyhPM
TBwPzRoZljsANSc7CQbtOBRTbf2w0GnKPZ4Ex+JcBNNB1rCZpMG5AwoCgoxbaieYxsijxRi8taDk
FU93Fpql4IISMAfnCB7rzH52YABLme5oQq6wXukqkcbxKvA8OrNUoONEIfUzuJNRF7B42VWA2yN1
D+v24/EBefQRgABNJ2M/tMhANyiJy46fsgN9bNQv2q/ci48cVgkrBPYUWgDE08SjAzoWwNgIDTop
X6DxkQW+BFKA7iYgJhK7xAQG1qyPxusMaPjUnoQwrtTwiQ/JJBqOaMSsn94i0FR7xPQI+dPBjR/v
rUtvAp0+GlgXdaN1Aj1XiBskKhCdq7Ap1s8AXcEDidvnHgiEBQahDw0+7SB7twRNs0e2ZRkuHJX1
KhncWkB6sfVPDaT0+x3+GVkDBE0o2TLG9hLQDwvQvxSFWxUZ32avDO5YBOWhyzpEsRb0Wsm4PRb6
O0LTRrbj6nVj2dAuzCJ8l/WIbHiduohNcbJ+envBtUY6GEHaxulsEc/gQmQNbCFuXO5cUEcI2Asc
w48MWSdEFD1EiIfoYPPqZ3AhEi8vPQk4BJqxWOq9u6Jrj1yT4BGARzP6JhYdUmzwCMbl2acCAZCL
9jnY8ObB63fWADuF0EAFOT7QWTDoWG0WpsSpwCgFQYVht6Ps+QPHHdG8i2AUMkX106y6Aa0FMEiC
DUvOH3gjNDaA4h7yhL04kR1B7zIzwJ6on8F5RcoKD4i/n70j+NZmTevd7vu+X1C5TBhwb6tNCqn1
QANaCwDSBERYai2Y9gg+F428cZsz7vsFc0QXC8pZbQVjQMMHbCqbNoCcRofNjn789lrcG71W3ygd
8itme3TW0z2gSXisw/i5O4F+YKjqkZpr84SiZ//4bBDJA5CHoqNioF5Rh6anucZInA2ckIYgMDzc
m3r+wPFGmsu1iV7AxisO7sZAy5n0hUFQUbgWJBGt6+9vCJVZou4AecTQdoJmkgWV9YYmtSMOf/2w
3Xs7gX56ro0sEmKEoY0fniJN+r5EMh2RRLJIP868Y0/gqoJtgPQRjrF+BrcHHiE5e647JI0Gppzb
EIXr+uk5AgZPyR1fSAKh9gSN5xnQoUDNQ5UOlcEV0A7sEhw07q7nCVwDWIZpkG9vA4fBOQSdko+0
Q9BHmkMGhbR5sxZ6DoGjEdI7bo8twmFAi4CLHC8rFxyKqoGloQzc3hp7awDsCdR9Lc8Rf2lAo6f7
4gGv03MdgQmwiMoBRaXHP77L8EV/Bk0gzRYZ3BYQZ4L0IhDtMTaEMYfMQN8dgr9irvET7fV8QKtA
wIEk94DNBQhH56Dr23gAHOvxkQiX1qjmTmCGBhcSQFXZvJRUWOySf6Jm1Pr5XgqZZAH9fojpkW4f
5mkI25jo25LzhMR94OtIQbWroIcyoJzgwNLGlbRNJA/OFehUO6RPQxH+cVtuV8ID6BXgI9TSaPI/
cpgDOxYQgMd/Sa0Fgb2iqgDqpusJIP9zVMgAiJ8bTzG8NQApiGzCiNGTPSVz2CKrHuBNACFSUKHn
p70iDM4rUmqXRx1RaobS3RRlg/rhWx+fCmCvSFHSC324QwzvokR1TTo0UOGlI8IgMd+s+N6OwCsK
AjoQf4cq7NBOSC66nmzOxASWC6OwBxrz0TsCRUZHQHxo4m1+Pri1YBAnSscJGmhDA+LTQ+qgd1cA
h2awWzgbfpRiB3Y2iCZwybOBK4Og7hDMio1f6EVLDnEEmAQYytsN0wQm//2QeRbnUSaaRhZ+HHWY
J4WYyq+cjz0LPxo2AB1wIwaqz7X5Md/ISgCeTQbxcE7+r+Zger/2owO/7/EcsISlwVi6O7KIBzlq
2i/d942cky5XR8r732fpV/fDLyyX731A46Uf3tcdQP48faxR6Ge/cEDDP/x52/UiWlsgQPrOH1r/
oqBraP72jwahPzsTXWcJjn54yBoc/+/tAB/+6Udf6vAfL/15Mk1my6oebtW+5pvpmi6if4XTb9Mu
CwQ7lFP7x5v88bLznke74B8M96STmkuntN2fqjH8vPHq+7Z98oWT1TRKp+lh6OIzQgWLu5Z95fE0
hNwziboE2U2ZTtp2jCrm9D4+vKV466beIW85iuazzJ/lWcd4nT6TNX46D6fFNJkfW26g/9KWf42X
XHKxnDPr/v30+PVb5yj7/hfzOFl0V0qbtpa1fMmM+37nlRtssazhq3uYZDp2m5KTtN0nVMolv99V
dA8Hbff7NQgS6ZeOi57ZustP1uyrh76p6RmTNoyBfLaqOt+vgRjKmn4d5376YJob4J6s7ZupH3W8
B2gMkdOUt5tUD0jHm+SIvOk0nc6WeTrPss4p0xZkpO37M7TOp92otbnHyZvmLEjjrLOyW5iNvO0U
GovU32w6vqkFO/8O63Ge9E2LdI+06TjKej6kbdmRtfyU8KSk43sz30275xY1CoGtl3/n4sXldL1J
l373WG/beH6H/et5ks47noqclbib/g7jN/PSn3WOsbb35HcY/ytOVofXrO8HTa5N2nScZMsX42kS
h373NGuRP7/nD5xOV/293xAYyJp/u/S7M95UJ6XNPsFtJ7l/3iZzqKo6n7Jp1pR953fzKEqrcDft
XRPa+oSs+X8S1JCclg9x/pOF2MJvZN+/+QMPF2JbyZU1/5HZn6fpvBNSoAMkyoTytsvurbJNK8ra
/ZRNl4e3Ez6lbYyRNXs3T9acbB3LDVGHtGVktv3e8m7R67KmP085d6JF1t2abUu9tPF5mr24e+zl
G7i1tH0/ncURNGOdOW+qs9K2q5hk3qJruW4pfNryY5mm70CWh/mnAwnEY/9bN7kmfmMWzqfJn/8G
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endParaRPr lang="en-GB" sz="1000" b="0" i="0" u="none" strike="noStrike" baseline="0">
            <a:solidFill>
              <a:sysClr val="window" lastClr="FFFFFF">
                <a:lumMod val="95000"/>
              </a:sysClr>
            </a:solidFill>
            <a:latin typeface="Calibri"/>
          </a:endParaRPr>
        </a:p>
      </cx:txPr>
    </cx:legend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59069</xdr:rowOff>
    </xdr:from>
    <xdr:to>
      <xdr:col>9</xdr:col>
      <xdr:colOff>1041400</xdr:colOff>
      <xdr:row>22</xdr:row>
      <xdr:rowOff>134946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1B0E9-E7FE-7040-9572-C75A6040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1117600</xdr:colOff>
      <xdr:row>3</xdr:row>
      <xdr:rowOff>0</xdr:rowOff>
    </xdr:from>
    <xdr:to>
      <xdr:col>18</xdr:col>
      <xdr:colOff>0</xdr:colOff>
      <xdr:row>22</xdr:row>
      <xdr:rowOff>136406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2DC6EA-11C4-4841-BA33-E9C2E8B3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40638</xdr:rowOff>
    </xdr:from>
    <xdr:to>
      <xdr:col>5</xdr:col>
      <xdr:colOff>897156</xdr:colOff>
      <xdr:row>46</xdr:row>
      <xdr:rowOff>154680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DB812-4773-5F4A-9CFB-EEBDFCBC0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186422</xdr:colOff>
      <xdr:row>24</xdr:row>
      <xdr:rowOff>48882</xdr:rowOff>
    </xdr:from>
    <xdr:to>
      <xdr:col>18</xdr:col>
      <xdr:colOff>1046</xdr:colOff>
      <xdr:row>46</xdr:row>
      <xdr:rowOff>153516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066576B-F32F-8E45-8128-F7447DBD3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2622" y="4697082"/>
              <a:ext cx="4958124" cy="4295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</xdr:row>
      <xdr:rowOff>59069</xdr:rowOff>
    </xdr:from>
    <xdr:to>
      <xdr:col>24</xdr:col>
      <xdr:colOff>437117</xdr:colOff>
      <xdr:row>22</xdr:row>
      <xdr:rowOff>133685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501865-8F0A-2C49-B642-A86D3CC5F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39148</xdr:colOff>
      <xdr:row>24</xdr:row>
      <xdr:rowOff>44432</xdr:rowOff>
    </xdr:from>
    <xdr:to>
      <xdr:col>24</xdr:col>
      <xdr:colOff>445549</xdr:colOff>
      <xdr:row>46</xdr:row>
      <xdr:rowOff>149087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0D6F01-3069-3A4A-8E34-D1856008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938342</xdr:colOff>
      <xdr:row>24</xdr:row>
      <xdr:rowOff>48703</xdr:rowOff>
    </xdr:from>
    <xdr:to>
      <xdr:col>12</xdr:col>
      <xdr:colOff>144884</xdr:colOff>
      <xdr:row>46</xdr:row>
      <xdr:rowOff>153515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790454-D021-A74E-8CC6-3B23C2D01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C6DD-9C02-A64C-B2A5-EE6C65A50C54}">
  <dimension ref="A1:Y47"/>
  <sheetViews>
    <sheetView showGridLines="0" tabSelected="1" zoomScale="86" zoomScaleNormal="86" workbookViewId="0">
      <selection activeCell="AA25" sqref="AA25"/>
    </sheetView>
  </sheetViews>
  <sheetFormatPr baseColWidth="10" defaultRowHeight="15" x14ac:dyDescent="0.2"/>
  <cols>
    <col min="1" max="4" width="10.83203125" style="1"/>
    <col min="5" max="5" width="0.83203125" style="1" customWidth="1"/>
    <col min="6" max="6" width="15.5" style="1" bestFit="1" customWidth="1"/>
    <col min="7" max="8" width="10.83203125" style="1"/>
    <col min="9" max="9" width="0.83203125" style="1" customWidth="1"/>
    <col min="10" max="10" width="23.83203125" style="1" customWidth="1"/>
    <col min="11" max="11" width="10.83203125" style="1"/>
    <col min="12" max="12" width="0.83203125" style="1" customWidth="1"/>
    <col min="13" max="13" width="21.83203125" style="1" bestFit="1" customWidth="1"/>
    <col min="14" max="14" width="10.83203125" style="1"/>
    <col min="15" max="15" width="0.1640625" style="1" customWidth="1"/>
    <col min="16" max="16" width="13" style="1" bestFit="1" customWidth="1"/>
    <col min="17" max="18" width="10.83203125" style="1"/>
    <col min="19" max="19" width="0.6640625" style="1" customWidth="1"/>
    <col min="20" max="24" width="10.83203125" style="1"/>
    <col min="25" max="25" width="5.6640625" style="1" customWidth="1"/>
    <col min="26" max="16384" width="10.83203125" style="1"/>
  </cols>
  <sheetData>
    <row r="1" spans="1:25" ht="31" customHeight="1" x14ac:dyDescent="0.3">
      <c r="A1" s="9" t="s">
        <v>112</v>
      </c>
      <c r="B1" s="10"/>
      <c r="C1" s="10"/>
      <c r="D1" s="10"/>
      <c r="E1" s="10"/>
      <c r="F1" s="11"/>
      <c r="G1" s="15" t="s">
        <v>117</v>
      </c>
      <c r="H1" s="16"/>
      <c r="I1" s="16"/>
      <c r="J1" s="21"/>
      <c r="K1" s="15" t="s">
        <v>114</v>
      </c>
      <c r="L1" s="16"/>
      <c r="M1" s="16"/>
      <c r="N1" s="21"/>
      <c r="O1" s="2"/>
      <c r="P1" s="15" t="s">
        <v>116</v>
      </c>
      <c r="Q1" s="16"/>
      <c r="R1" s="16"/>
      <c r="S1" s="16"/>
      <c r="T1" s="21"/>
      <c r="U1" s="15" t="s">
        <v>113</v>
      </c>
      <c r="V1" s="16"/>
      <c r="W1" s="16"/>
      <c r="X1" s="16"/>
      <c r="Y1" s="17"/>
    </row>
    <row r="2" spans="1:25" ht="29" customHeight="1" x14ac:dyDescent="0.35">
      <c r="A2" s="12"/>
      <c r="B2" s="13"/>
      <c r="C2" s="13"/>
      <c r="D2" s="13"/>
      <c r="E2" s="13"/>
      <c r="F2" s="14"/>
      <c r="G2" s="25">
        <f>Top_KPIs!A2</f>
        <v>1345310</v>
      </c>
      <c r="H2" s="26"/>
      <c r="I2" s="26"/>
      <c r="J2" s="27"/>
      <c r="K2" s="22">
        <f>Top_KPIs!B2</f>
        <v>19399332550</v>
      </c>
      <c r="L2" s="23"/>
      <c r="M2" s="23"/>
      <c r="N2" s="24"/>
      <c r="P2" s="22">
        <f>Top_KPIs!C2</f>
        <v>4180135725</v>
      </c>
      <c r="Q2" s="23"/>
      <c r="R2" s="23"/>
      <c r="S2" s="23"/>
      <c r="T2" s="24"/>
      <c r="U2" s="18">
        <f>Top_KPIs!D2</f>
        <v>0.1996</v>
      </c>
      <c r="V2" s="19"/>
      <c r="W2" s="19"/>
      <c r="X2" s="19"/>
      <c r="Y2" s="20"/>
    </row>
    <row r="3" spans="1:25" ht="5" customHeight="1" x14ac:dyDescent="0.2">
      <c r="A3" s="3"/>
      <c r="Y3" s="4"/>
    </row>
    <row r="4" spans="1:25" x14ac:dyDescent="0.2">
      <c r="A4" s="5"/>
      <c r="Y4" s="4"/>
    </row>
    <row r="5" spans="1:25" x14ac:dyDescent="0.2">
      <c r="A5" s="3"/>
      <c r="Y5" s="4"/>
    </row>
    <row r="6" spans="1:25" x14ac:dyDescent="0.2">
      <c r="A6" s="3"/>
      <c r="Y6" s="4"/>
    </row>
    <row r="7" spans="1:25" x14ac:dyDescent="0.2">
      <c r="A7" s="3"/>
      <c r="Y7" s="4"/>
    </row>
    <row r="8" spans="1:25" x14ac:dyDescent="0.2">
      <c r="A8" s="3"/>
      <c r="Y8" s="4"/>
    </row>
    <row r="9" spans="1:25" x14ac:dyDescent="0.2">
      <c r="A9" s="3"/>
      <c r="Y9" s="4"/>
    </row>
    <row r="10" spans="1:25" x14ac:dyDescent="0.2">
      <c r="A10" s="3"/>
      <c r="Y10" s="4"/>
    </row>
    <row r="11" spans="1:25" x14ac:dyDescent="0.2">
      <c r="A11" s="3"/>
      <c r="Y11" s="4"/>
    </row>
    <row r="12" spans="1:25" x14ac:dyDescent="0.2">
      <c r="A12" s="3"/>
      <c r="Y12" s="4"/>
    </row>
    <row r="13" spans="1:25" x14ac:dyDescent="0.2">
      <c r="A13" s="3"/>
      <c r="Y13" s="4"/>
    </row>
    <row r="14" spans="1:25" x14ac:dyDescent="0.2">
      <c r="A14" s="3"/>
      <c r="Y14" s="4"/>
    </row>
    <row r="15" spans="1:25" x14ac:dyDescent="0.2">
      <c r="A15" s="3"/>
      <c r="Y15" s="4"/>
    </row>
    <row r="16" spans="1:25" x14ac:dyDescent="0.2">
      <c r="A16" s="3"/>
      <c r="Y16" s="4"/>
    </row>
    <row r="17" spans="1:25" x14ac:dyDescent="0.2">
      <c r="A17" s="3"/>
      <c r="Y17" s="4"/>
    </row>
    <row r="18" spans="1:25" x14ac:dyDescent="0.2">
      <c r="A18" s="3"/>
      <c r="Y18" s="4"/>
    </row>
    <row r="19" spans="1:25" x14ac:dyDescent="0.2">
      <c r="A19" s="3"/>
      <c r="Y19" s="4"/>
    </row>
    <row r="20" spans="1:25" x14ac:dyDescent="0.2">
      <c r="A20" s="3"/>
      <c r="Y20" s="4"/>
    </row>
    <row r="21" spans="1:25" x14ac:dyDescent="0.2">
      <c r="A21" s="3"/>
      <c r="Y21" s="4"/>
    </row>
    <row r="22" spans="1:25" x14ac:dyDescent="0.2">
      <c r="A22" s="3"/>
      <c r="Y22" s="4"/>
    </row>
    <row r="23" spans="1:25" x14ac:dyDescent="0.2">
      <c r="A23" s="3"/>
      <c r="Y23" s="4"/>
    </row>
    <row r="24" spans="1:25" ht="1" customHeight="1" x14ac:dyDescent="0.2">
      <c r="A24" s="3"/>
      <c r="Y24" s="4"/>
    </row>
    <row r="25" spans="1:25" x14ac:dyDescent="0.2">
      <c r="A25" s="3"/>
      <c r="Y25" s="4"/>
    </row>
    <row r="26" spans="1:25" x14ac:dyDescent="0.2">
      <c r="A26" s="3"/>
      <c r="Y26" s="4"/>
    </row>
    <row r="27" spans="1:25" x14ac:dyDescent="0.2">
      <c r="A27" s="3"/>
      <c r="Y27" s="4"/>
    </row>
    <row r="28" spans="1:25" x14ac:dyDescent="0.2">
      <c r="A28" s="3"/>
      <c r="Y28" s="4"/>
    </row>
    <row r="29" spans="1:25" x14ac:dyDescent="0.2">
      <c r="A29" s="3"/>
      <c r="Y29" s="4"/>
    </row>
    <row r="30" spans="1:25" x14ac:dyDescent="0.2">
      <c r="A30" s="3"/>
      <c r="Y30" s="4"/>
    </row>
    <row r="31" spans="1:25" x14ac:dyDescent="0.2">
      <c r="A31" s="3"/>
      <c r="Y31" s="4"/>
    </row>
    <row r="32" spans="1:25" x14ac:dyDescent="0.2">
      <c r="A32" s="3"/>
      <c r="Y32" s="4"/>
    </row>
    <row r="33" spans="1:25" x14ac:dyDescent="0.2">
      <c r="A33" s="3"/>
      <c r="Y33" s="4"/>
    </row>
    <row r="34" spans="1:25" x14ac:dyDescent="0.2">
      <c r="A34" s="3"/>
      <c r="Y34" s="4"/>
    </row>
    <row r="35" spans="1:25" x14ac:dyDescent="0.2">
      <c r="A35" s="3"/>
      <c r="Y35" s="4"/>
    </row>
    <row r="36" spans="1:25" x14ac:dyDescent="0.2">
      <c r="A36" s="3"/>
      <c r="Y36" s="4"/>
    </row>
    <row r="37" spans="1:25" x14ac:dyDescent="0.2">
      <c r="A37" s="3"/>
      <c r="Y37" s="4"/>
    </row>
    <row r="38" spans="1:25" x14ac:dyDescent="0.2">
      <c r="A38" s="3"/>
      <c r="Y38" s="4"/>
    </row>
    <row r="39" spans="1:25" x14ac:dyDescent="0.2">
      <c r="A39" s="3"/>
      <c r="Y39" s="4"/>
    </row>
    <row r="40" spans="1:25" x14ac:dyDescent="0.2">
      <c r="A40" s="3"/>
      <c r="Y40" s="4"/>
    </row>
    <row r="41" spans="1:25" x14ac:dyDescent="0.2">
      <c r="A41" s="3"/>
      <c r="Y41" s="4"/>
    </row>
    <row r="42" spans="1:25" x14ac:dyDescent="0.2">
      <c r="A42" s="3"/>
      <c r="Y42" s="4"/>
    </row>
    <row r="43" spans="1:25" x14ac:dyDescent="0.2">
      <c r="A43" s="3"/>
      <c r="Y43" s="4"/>
    </row>
    <row r="44" spans="1:25" x14ac:dyDescent="0.2">
      <c r="A44" s="3"/>
      <c r="Y44" s="4"/>
    </row>
    <row r="45" spans="1:25" x14ac:dyDescent="0.2">
      <c r="A45" s="3"/>
      <c r="Y45" s="4"/>
    </row>
    <row r="46" spans="1:25" x14ac:dyDescent="0.2">
      <c r="A46" s="3"/>
      <c r="Y46" s="4"/>
    </row>
    <row r="47" spans="1:25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8"/>
    </row>
  </sheetData>
  <mergeCells count="9">
    <mergeCell ref="A1:F2"/>
    <mergeCell ref="U1:Y1"/>
    <mergeCell ref="U2:Y2"/>
    <mergeCell ref="K1:N1"/>
    <mergeCell ref="K2:N2"/>
    <mergeCell ref="G2:J2"/>
    <mergeCell ref="G1:J1"/>
    <mergeCell ref="P2:T2"/>
    <mergeCell ref="P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3.5" bestFit="1" customWidth="1"/>
    <col min="2" max="2" width="15.83203125" bestFit="1" customWidth="1"/>
    <col min="3" max="3" width="13" bestFit="1" customWidth="1"/>
    <col min="4" max="4" width="1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1345310</v>
      </c>
      <c r="B2">
        <v>19399332550</v>
      </c>
      <c r="C2">
        <v>4180135725</v>
      </c>
      <c r="D2">
        <f>19.96/100</f>
        <v>0.1996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235090</v>
      </c>
      <c r="C2">
        <v>3265952675</v>
      </c>
      <c r="D2">
        <v>173872221.31</v>
      </c>
      <c r="E2">
        <v>5.32</v>
      </c>
    </row>
    <row r="3" spans="1:5" x14ac:dyDescent="0.2">
      <c r="A3" t="s">
        <v>10</v>
      </c>
      <c r="B3">
        <v>392741</v>
      </c>
      <c r="C3">
        <v>5198961950</v>
      </c>
      <c r="D3">
        <v>270273347.81999999</v>
      </c>
      <c r="E3">
        <v>5.2</v>
      </c>
    </row>
    <row r="4" spans="1:5" x14ac:dyDescent="0.2">
      <c r="A4" t="s">
        <v>11</v>
      </c>
      <c r="B4">
        <v>381686</v>
      </c>
      <c r="C4">
        <v>5415526025</v>
      </c>
      <c r="D4">
        <v>147873090.09999999</v>
      </c>
      <c r="E4">
        <v>2.73</v>
      </c>
    </row>
    <row r="5" spans="1:5" x14ac:dyDescent="0.2">
      <c r="A5" t="s">
        <v>12</v>
      </c>
      <c r="B5">
        <v>200953</v>
      </c>
      <c r="C5">
        <v>3069035800</v>
      </c>
      <c r="D5">
        <v>15054009.07</v>
      </c>
      <c r="E5">
        <v>0.49</v>
      </c>
    </row>
    <row r="6" spans="1:5" x14ac:dyDescent="0.2">
      <c r="A6" t="s">
        <v>13</v>
      </c>
      <c r="B6">
        <v>93650</v>
      </c>
      <c r="C6">
        <v>1649930100</v>
      </c>
      <c r="D6">
        <v>-22554368.710000001</v>
      </c>
      <c r="E6">
        <v>-1.37</v>
      </c>
    </row>
    <row r="7" spans="1:5" x14ac:dyDescent="0.2">
      <c r="A7" t="s">
        <v>14</v>
      </c>
      <c r="B7">
        <v>32058</v>
      </c>
      <c r="C7">
        <v>611909025</v>
      </c>
      <c r="D7">
        <v>-24674887.920000002</v>
      </c>
      <c r="E7">
        <v>-4.03</v>
      </c>
    </row>
    <row r="8" spans="1:5" x14ac:dyDescent="0.2">
      <c r="A8" t="s">
        <v>15</v>
      </c>
      <c r="B8">
        <v>9132</v>
      </c>
      <c r="C8">
        <v>188016975</v>
      </c>
      <c r="D8">
        <v>-16483551.91</v>
      </c>
      <c r="E8">
        <v>-8.77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5.33203125" bestFit="1" customWidth="1"/>
    <col min="2" max="2" width="11.6640625" bestFit="1" customWidth="1"/>
    <col min="3" max="3" width="14.6640625" bestFit="1" customWidth="1"/>
    <col min="4" max="4" width="16" bestFit="1" customWidth="1"/>
    <col min="5" max="5" width="20.83203125" bestFit="1" customWidth="1"/>
  </cols>
  <sheetData>
    <row r="1" spans="1:5" x14ac:dyDescent="0.2">
      <c r="A1" t="s">
        <v>4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9</v>
      </c>
      <c r="B2">
        <v>14201</v>
      </c>
      <c r="C2">
        <v>13738.86</v>
      </c>
      <c r="D2">
        <v>44.89</v>
      </c>
      <c r="E2">
        <v>5.97</v>
      </c>
    </row>
    <row r="3" spans="1:5" x14ac:dyDescent="0.2">
      <c r="A3" t="s">
        <v>10</v>
      </c>
      <c r="B3">
        <v>52569</v>
      </c>
      <c r="C3">
        <v>13558.43</v>
      </c>
      <c r="D3">
        <v>44.66</v>
      </c>
      <c r="E3">
        <v>6.59</v>
      </c>
    </row>
    <row r="4" spans="1:5" x14ac:dyDescent="0.2">
      <c r="A4" t="s">
        <v>11</v>
      </c>
      <c r="B4">
        <v>85649</v>
      </c>
      <c r="C4">
        <v>14750.25</v>
      </c>
      <c r="D4">
        <v>46.23</v>
      </c>
      <c r="E4">
        <v>7.31</v>
      </c>
    </row>
    <row r="5" spans="1:5" x14ac:dyDescent="0.2">
      <c r="A5" t="s">
        <v>12</v>
      </c>
      <c r="B5">
        <v>61054</v>
      </c>
      <c r="C5">
        <v>16010.79</v>
      </c>
      <c r="D5">
        <v>46.3</v>
      </c>
      <c r="E5">
        <v>7.8</v>
      </c>
    </row>
    <row r="6" spans="1:5" x14ac:dyDescent="0.2">
      <c r="A6" t="s">
        <v>13</v>
      </c>
      <c r="B6">
        <v>36035</v>
      </c>
      <c r="C6">
        <v>18153.09</v>
      </c>
      <c r="D6">
        <v>45.87</v>
      </c>
      <c r="E6">
        <v>8.6199999999999992</v>
      </c>
    </row>
    <row r="7" spans="1:5" x14ac:dyDescent="0.2">
      <c r="A7" t="s">
        <v>14</v>
      </c>
      <c r="B7">
        <v>14491</v>
      </c>
      <c r="C7">
        <v>19584.86</v>
      </c>
      <c r="D7">
        <v>46.06</v>
      </c>
      <c r="E7">
        <v>9.32</v>
      </c>
    </row>
    <row r="8" spans="1:5" x14ac:dyDescent="0.2">
      <c r="A8" t="s">
        <v>15</v>
      </c>
      <c r="B8">
        <v>4560</v>
      </c>
      <c r="C8">
        <v>20495.47</v>
      </c>
      <c r="D8">
        <v>49.88</v>
      </c>
      <c r="E8">
        <v>9.69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24</v>
      </c>
      <c r="B2" t="s">
        <v>25</v>
      </c>
      <c r="C2">
        <v>56570</v>
      </c>
      <c r="D2">
        <v>7.89</v>
      </c>
    </row>
    <row r="3" spans="1:4" x14ac:dyDescent="0.2">
      <c r="A3" t="s">
        <v>24</v>
      </c>
      <c r="B3" t="s">
        <v>26</v>
      </c>
      <c r="C3">
        <v>34995</v>
      </c>
      <c r="D3">
        <v>8.67</v>
      </c>
    </row>
    <row r="4" spans="1:4" x14ac:dyDescent="0.2">
      <c r="A4" t="s">
        <v>24</v>
      </c>
      <c r="B4" t="s">
        <v>27</v>
      </c>
      <c r="C4">
        <v>14984</v>
      </c>
      <c r="D4">
        <v>13.12</v>
      </c>
    </row>
    <row r="5" spans="1:4" x14ac:dyDescent="0.2">
      <c r="A5" t="s">
        <v>28</v>
      </c>
      <c r="B5" t="s">
        <v>25</v>
      </c>
      <c r="C5">
        <v>156060</v>
      </c>
      <c r="D5">
        <v>12.62</v>
      </c>
    </row>
    <row r="6" spans="1:4" x14ac:dyDescent="0.2">
      <c r="A6" t="s">
        <v>28</v>
      </c>
      <c r="B6" t="s">
        <v>26</v>
      </c>
      <c r="C6">
        <v>167291</v>
      </c>
      <c r="D6">
        <v>15.42</v>
      </c>
    </row>
    <row r="7" spans="1:4" x14ac:dyDescent="0.2">
      <c r="A7" t="s">
        <v>28</v>
      </c>
      <c r="B7" t="s">
        <v>27</v>
      </c>
      <c r="C7">
        <v>94407</v>
      </c>
      <c r="D7">
        <v>21.11</v>
      </c>
    </row>
    <row r="8" spans="1:4" x14ac:dyDescent="0.2">
      <c r="A8" t="s">
        <v>29</v>
      </c>
      <c r="B8" t="s">
        <v>25</v>
      </c>
      <c r="C8">
        <v>305993</v>
      </c>
      <c r="D8">
        <v>18.850000000000001</v>
      </c>
    </row>
    <row r="9" spans="1:4" x14ac:dyDescent="0.2">
      <c r="A9" t="s">
        <v>29</v>
      </c>
      <c r="B9" t="s">
        <v>26</v>
      </c>
      <c r="C9">
        <v>328365</v>
      </c>
      <c r="D9">
        <v>23.96</v>
      </c>
    </row>
    <row r="10" spans="1:4" x14ac:dyDescent="0.2">
      <c r="A10" t="s">
        <v>29</v>
      </c>
      <c r="B10" t="s">
        <v>27</v>
      </c>
      <c r="C10">
        <v>186269</v>
      </c>
      <c r="D10">
        <v>30.73</v>
      </c>
    </row>
    <row r="11" spans="1:4" x14ac:dyDescent="0.2">
      <c r="A11" t="s">
        <v>30</v>
      </c>
      <c r="B11" t="s">
        <v>25</v>
      </c>
      <c r="C11">
        <v>2</v>
      </c>
      <c r="D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3" x14ac:dyDescent="0.2">
      <c r="A1" t="s">
        <v>31</v>
      </c>
      <c r="B1" t="s">
        <v>22</v>
      </c>
      <c r="C1" t="s">
        <v>23</v>
      </c>
    </row>
    <row r="2" spans="1:3" x14ac:dyDescent="0.2">
      <c r="A2" t="s">
        <v>32</v>
      </c>
      <c r="B2">
        <v>281522</v>
      </c>
      <c r="C2">
        <v>0.1588</v>
      </c>
    </row>
    <row r="3" spans="1:3" x14ac:dyDescent="0.2">
      <c r="A3" t="s">
        <v>33</v>
      </c>
      <c r="B3">
        <v>540059</v>
      </c>
      <c r="C3">
        <v>0.19950000000000001</v>
      </c>
    </row>
    <row r="4" spans="1:3" x14ac:dyDescent="0.2">
      <c r="A4" t="s">
        <v>34</v>
      </c>
      <c r="B4">
        <v>442451</v>
      </c>
      <c r="C4">
        <v>0.21959999999999999</v>
      </c>
    </row>
    <row r="5" spans="1:3" x14ac:dyDescent="0.2">
      <c r="A5" t="s">
        <v>35</v>
      </c>
      <c r="B5">
        <v>80421</v>
      </c>
      <c r="C5">
        <v>0.23319999999999999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4" x14ac:dyDescent="0.2">
      <c r="A1" t="s">
        <v>36</v>
      </c>
      <c r="B1" t="s">
        <v>22</v>
      </c>
      <c r="C1" t="s">
        <v>16</v>
      </c>
      <c r="D1" t="s">
        <v>23</v>
      </c>
    </row>
    <row r="2" spans="1:4" x14ac:dyDescent="0.2">
      <c r="A2" t="s">
        <v>37</v>
      </c>
      <c r="B2">
        <v>1020743</v>
      </c>
      <c r="C2">
        <v>163252</v>
      </c>
      <c r="D2">
        <v>15.99</v>
      </c>
    </row>
    <row r="3" spans="1:4" x14ac:dyDescent="0.2">
      <c r="A3" t="s">
        <v>38</v>
      </c>
      <c r="B3">
        <v>324567</v>
      </c>
      <c r="C3">
        <v>105307</v>
      </c>
      <c r="D3">
        <v>32.450000000000003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8.5" bestFit="1" customWidth="1"/>
    <col min="2" max="2" width="9.6640625" bestFit="1" customWidth="1"/>
    <col min="3" max="3" width="11.6640625" bestFit="1" customWidth="1"/>
  </cols>
  <sheetData>
    <row r="1" spans="1:4" x14ac:dyDescent="0.2">
      <c r="A1" t="s">
        <v>39</v>
      </c>
      <c r="B1" t="s">
        <v>22</v>
      </c>
      <c r="C1" t="s">
        <v>16</v>
      </c>
      <c r="D1" t="s">
        <v>23</v>
      </c>
    </row>
    <row r="2" spans="1:4" x14ac:dyDescent="0.2">
      <c r="A2" t="s">
        <v>40</v>
      </c>
      <c r="B2">
        <v>196555</v>
      </c>
      <c r="C2">
        <v>40380</v>
      </c>
      <c r="D2">
        <v>20.54</v>
      </c>
    </row>
    <row r="3" spans="1:4" x14ac:dyDescent="0.2">
      <c r="A3" t="s">
        <v>41</v>
      </c>
      <c r="B3">
        <v>394050</v>
      </c>
      <c r="C3">
        <v>77995</v>
      </c>
      <c r="D3">
        <v>19.79</v>
      </c>
    </row>
    <row r="4" spans="1:4" x14ac:dyDescent="0.2">
      <c r="A4" t="s">
        <v>42</v>
      </c>
      <c r="B4">
        <v>233995</v>
      </c>
      <c r="C4">
        <v>45997</v>
      </c>
      <c r="D4">
        <v>19.66</v>
      </c>
    </row>
    <row r="5" spans="1:4" x14ac:dyDescent="0.2">
      <c r="A5" t="s">
        <v>43</v>
      </c>
      <c r="B5">
        <v>442199</v>
      </c>
      <c r="C5">
        <v>83057</v>
      </c>
      <c r="D5">
        <v>18.78</v>
      </c>
    </row>
    <row r="6" spans="1:4" x14ac:dyDescent="0.2">
      <c r="A6" t="s">
        <v>44</v>
      </c>
      <c r="B6">
        <v>78511</v>
      </c>
      <c r="C6">
        <v>21130</v>
      </c>
      <c r="D6">
        <v>26.91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3" x14ac:dyDescent="0.2">
      <c r="A1" t="s">
        <v>45</v>
      </c>
      <c r="B1" t="s">
        <v>22</v>
      </c>
      <c r="C1" t="s">
        <v>23</v>
      </c>
    </row>
    <row r="2" spans="1:3" x14ac:dyDescent="0.2">
      <c r="A2" t="s">
        <v>52</v>
      </c>
      <c r="B2">
        <v>15416</v>
      </c>
      <c r="C2">
        <v>29.71</v>
      </c>
    </row>
    <row r="3" spans="1:3" x14ac:dyDescent="0.2">
      <c r="A3" t="s">
        <v>51</v>
      </c>
      <c r="B3">
        <v>15554</v>
      </c>
      <c r="C3">
        <v>21.78</v>
      </c>
    </row>
    <row r="4" spans="1:3" x14ac:dyDescent="0.2">
      <c r="A4" t="s">
        <v>46</v>
      </c>
      <c r="B4">
        <v>780321</v>
      </c>
      <c r="C4">
        <v>21.15</v>
      </c>
    </row>
    <row r="5" spans="1:3" x14ac:dyDescent="0.2">
      <c r="A5" t="s">
        <v>49</v>
      </c>
      <c r="B5">
        <v>77875</v>
      </c>
      <c r="C5">
        <v>21.04</v>
      </c>
    </row>
    <row r="6" spans="1:3" x14ac:dyDescent="0.2">
      <c r="A6" t="s">
        <v>50</v>
      </c>
      <c r="B6">
        <v>29425</v>
      </c>
      <c r="C6">
        <v>18.600000000000001</v>
      </c>
    </row>
    <row r="7" spans="1:3" x14ac:dyDescent="0.2">
      <c r="A7" t="s">
        <v>48</v>
      </c>
      <c r="B7">
        <v>87504</v>
      </c>
      <c r="C7">
        <v>17.72</v>
      </c>
    </row>
    <row r="8" spans="1:3" x14ac:dyDescent="0.2">
      <c r="A8" t="s">
        <v>47</v>
      </c>
      <c r="B8">
        <v>295279</v>
      </c>
      <c r="C8">
        <v>16.93</v>
      </c>
    </row>
    <row r="9" spans="1:3" x14ac:dyDescent="0.2">
      <c r="A9" t="s">
        <v>53</v>
      </c>
      <c r="B9">
        <v>14585</v>
      </c>
      <c r="C9">
        <v>14.68</v>
      </c>
    </row>
  </sheetData>
  <sortState xmlns:xlrd2="http://schemas.microsoft.com/office/spreadsheetml/2017/richdata2" ref="A2:C9">
    <sortCondition descending="1" ref="C2:C9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4.6640625" bestFit="1" customWidth="1"/>
    <col min="2" max="2" width="13" bestFit="1" customWidth="1"/>
    <col min="3" max="3" width="10.33203125" bestFit="1" customWidth="1"/>
  </cols>
  <sheetData>
    <row r="1" spans="1:3" x14ac:dyDescent="0.2">
      <c r="A1" t="s">
        <v>54</v>
      </c>
      <c r="B1" t="s">
        <v>2</v>
      </c>
      <c r="C1" t="s">
        <v>23</v>
      </c>
    </row>
    <row r="2" spans="1:3" x14ac:dyDescent="0.2">
      <c r="A2" t="s">
        <v>55</v>
      </c>
      <c r="B2">
        <v>332291100</v>
      </c>
      <c r="C2">
        <v>16.059999999999999</v>
      </c>
    </row>
    <row r="3" spans="1:3" x14ac:dyDescent="0.2">
      <c r="A3" t="s">
        <v>56</v>
      </c>
      <c r="B3">
        <v>1246815900</v>
      </c>
      <c r="C3">
        <v>20.100000000000001</v>
      </c>
    </row>
    <row r="4" spans="1:3" x14ac:dyDescent="0.2">
      <c r="A4" t="s">
        <v>57</v>
      </c>
      <c r="B4">
        <v>1182306650</v>
      </c>
      <c r="C4">
        <v>22.85</v>
      </c>
    </row>
    <row r="5" spans="1:3" x14ac:dyDescent="0.2">
      <c r="A5" t="s">
        <v>58</v>
      </c>
      <c r="B5">
        <v>826534125</v>
      </c>
      <c r="C5">
        <v>23</v>
      </c>
    </row>
    <row r="6" spans="1:3" x14ac:dyDescent="0.2">
      <c r="A6" t="s">
        <v>59</v>
      </c>
      <c r="B6">
        <v>592187950</v>
      </c>
      <c r="C6">
        <v>24.11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2"/>
  <sheetViews>
    <sheetView workbookViewId="0">
      <selection activeCell="D3" sqref="D3"/>
    </sheetView>
  </sheetViews>
  <sheetFormatPr baseColWidth="10" defaultColWidth="8.83203125" defaultRowHeight="15" x14ac:dyDescent="0.2"/>
  <cols>
    <col min="2" max="2" width="15.33203125" customWidth="1"/>
  </cols>
  <sheetData>
    <row r="1" spans="1:4" x14ac:dyDescent="0.2">
      <c r="A1" t="s">
        <v>60</v>
      </c>
      <c r="B1" t="s">
        <v>2</v>
      </c>
      <c r="C1" t="s">
        <v>23</v>
      </c>
      <c r="D1" t="s">
        <v>115</v>
      </c>
    </row>
    <row r="2" spans="1:4" x14ac:dyDescent="0.2">
      <c r="A2" t="s">
        <v>61</v>
      </c>
      <c r="B2">
        <v>605259575</v>
      </c>
      <c r="C2">
        <v>19.61</v>
      </c>
      <c r="D2">
        <f>ROUND(B2/1000000, 0)</f>
        <v>605</v>
      </c>
    </row>
    <row r="3" spans="1:4" x14ac:dyDescent="0.2">
      <c r="A3" t="s">
        <v>62</v>
      </c>
      <c r="B3">
        <v>376835350</v>
      </c>
      <c r="C3">
        <v>22.04</v>
      </c>
      <c r="D3">
        <f t="shared" ref="D3:D52" si="0">ROUND(B3/1000000, 0)</f>
        <v>377</v>
      </c>
    </row>
    <row r="4" spans="1:4" x14ac:dyDescent="0.2">
      <c r="A4" t="s">
        <v>63</v>
      </c>
      <c r="B4">
        <v>360998350</v>
      </c>
      <c r="C4">
        <v>19.82</v>
      </c>
      <c r="D4">
        <f t="shared" si="0"/>
        <v>361</v>
      </c>
    </row>
    <row r="5" spans="1:4" x14ac:dyDescent="0.2">
      <c r="A5" t="s">
        <v>64</v>
      </c>
      <c r="B5">
        <v>303690775</v>
      </c>
      <c r="C5">
        <v>21.47</v>
      </c>
      <c r="D5">
        <f t="shared" si="0"/>
        <v>304</v>
      </c>
    </row>
    <row r="6" spans="1:4" x14ac:dyDescent="0.2">
      <c r="A6" t="s">
        <v>65</v>
      </c>
      <c r="B6">
        <v>168507025</v>
      </c>
      <c r="C6">
        <v>21.12</v>
      </c>
      <c r="D6">
        <f t="shared" si="0"/>
        <v>169</v>
      </c>
    </row>
    <row r="7" spans="1:4" x14ac:dyDescent="0.2">
      <c r="A7" t="s">
        <v>66</v>
      </c>
      <c r="B7">
        <v>148432300</v>
      </c>
      <c r="C7">
        <v>18.100000000000001</v>
      </c>
      <c r="D7">
        <f t="shared" si="0"/>
        <v>148</v>
      </c>
    </row>
    <row r="8" spans="1:4" x14ac:dyDescent="0.2">
      <c r="A8" t="s">
        <v>67</v>
      </c>
      <c r="B8">
        <v>146296475</v>
      </c>
      <c r="C8">
        <v>20.79</v>
      </c>
      <c r="D8">
        <f t="shared" si="0"/>
        <v>146</v>
      </c>
    </row>
    <row r="9" spans="1:4" x14ac:dyDescent="0.2">
      <c r="A9" t="s">
        <v>68</v>
      </c>
      <c r="B9">
        <v>132124425</v>
      </c>
      <c r="C9">
        <v>20.53</v>
      </c>
      <c r="D9">
        <f t="shared" si="0"/>
        <v>132</v>
      </c>
    </row>
    <row r="10" spans="1:4" x14ac:dyDescent="0.2">
      <c r="A10" t="s">
        <v>69</v>
      </c>
      <c r="B10">
        <v>127050200</v>
      </c>
      <c r="C10">
        <v>18.39</v>
      </c>
      <c r="D10">
        <f t="shared" si="0"/>
        <v>127</v>
      </c>
    </row>
    <row r="11" spans="1:4" x14ac:dyDescent="0.2">
      <c r="A11" t="s">
        <v>70</v>
      </c>
      <c r="B11">
        <v>123732300</v>
      </c>
      <c r="C11">
        <v>19.940000000000001</v>
      </c>
      <c r="D11">
        <f t="shared" si="0"/>
        <v>124</v>
      </c>
    </row>
    <row r="12" spans="1:4" x14ac:dyDescent="0.2">
      <c r="A12" t="s">
        <v>71</v>
      </c>
      <c r="B12">
        <v>122439100</v>
      </c>
      <c r="C12">
        <v>20.78</v>
      </c>
      <c r="D12">
        <f t="shared" si="0"/>
        <v>122</v>
      </c>
    </row>
    <row r="13" spans="1:4" x14ac:dyDescent="0.2">
      <c r="A13" t="s">
        <v>72</v>
      </c>
      <c r="B13">
        <v>108563850</v>
      </c>
      <c r="C13">
        <v>21.31</v>
      </c>
      <c r="D13">
        <f t="shared" si="0"/>
        <v>109</v>
      </c>
    </row>
    <row r="14" spans="1:4" x14ac:dyDescent="0.2">
      <c r="A14" t="s">
        <v>73</v>
      </c>
      <c r="B14">
        <v>106338800</v>
      </c>
      <c r="C14">
        <v>20.3</v>
      </c>
      <c r="D14">
        <f t="shared" si="0"/>
        <v>106</v>
      </c>
    </row>
    <row r="15" spans="1:4" x14ac:dyDescent="0.2">
      <c r="A15" t="s">
        <v>74</v>
      </c>
      <c r="B15">
        <v>96897200</v>
      </c>
      <c r="C15">
        <v>19.63</v>
      </c>
      <c r="D15">
        <f t="shared" si="0"/>
        <v>97</v>
      </c>
    </row>
    <row r="16" spans="1:4" x14ac:dyDescent="0.2">
      <c r="A16" t="s">
        <v>75</v>
      </c>
      <c r="B16">
        <v>94361200</v>
      </c>
      <c r="C16">
        <v>19.05</v>
      </c>
      <c r="D16">
        <f t="shared" si="0"/>
        <v>94</v>
      </c>
    </row>
    <row r="17" spans="1:4" x14ac:dyDescent="0.2">
      <c r="A17" t="s">
        <v>76</v>
      </c>
      <c r="B17">
        <v>72254750</v>
      </c>
      <c r="C17">
        <v>19.739999999999998</v>
      </c>
      <c r="D17">
        <f t="shared" si="0"/>
        <v>72</v>
      </c>
    </row>
    <row r="18" spans="1:4" x14ac:dyDescent="0.2">
      <c r="A18" t="s">
        <v>77</v>
      </c>
      <c r="B18">
        <v>71653475</v>
      </c>
      <c r="C18">
        <v>15.76</v>
      </c>
      <c r="D18">
        <f t="shared" si="0"/>
        <v>72</v>
      </c>
    </row>
    <row r="19" spans="1:4" x14ac:dyDescent="0.2">
      <c r="A19" t="s">
        <v>78</v>
      </c>
      <c r="B19">
        <v>71528125</v>
      </c>
      <c r="C19">
        <v>15.53</v>
      </c>
      <c r="D19">
        <f t="shared" si="0"/>
        <v>72</v>
      </c>
    </row>
    <row r="20" spans="1:4" x14ac:dyDescent="0.2">
      <c r="A20" t="s">
        <v>79</v>
      </c>
      <c r="B20">
        <v>70707925</v>
      </c>
      <c r="C20">
        <v>21.41</v>
      </c>
      <c r="D20">
        <f t="shared" si="0"/>
        <v>71</v>
      </c>
    </row>
    <row r="21" spans="1:4" x14ac:dyDescent="0.2">
      <c r="A21" t="s">
        <v>80</v>
      </c>
      <c r="B21">
        <v>67760325</v>
      </c>
      <c r="C21">
        <v>21.29</v>
      </c>
      <c r="D21">
        <f t="shared" si="0"/>
        <v>68</v>
      </c>
    </row>
    <row r="22" spans="1:4" x14ac:dyDescent="0.2">
      <c r="A22" t="s">
        <v>81</v>
      </c>
      <c r="B22">
        <v>64616975</v>
      </c>
      <c r="C22">
        <v>21.41</v>
      </c>
      <c r="D22">
        <f t="shared" si="0"/>
        <v>65</v>
      </c>
    </row>
    <row r="23" spans="1:4" x14ac:dyDescent="0.2">
      <c r="A23" t="s">
        <v>82</v>
      </c>
      <c r="B23">
        <v>64222650</v>
      </c>
      <c r="C23">
        <v>21.92</v>
      </c>
      <c r="D23">
        <f t="shared" si="0"/>
        <v>64</v>
      </c>
    </row>
    <row r="24" spans="1:4" x14ac:dyDescent="0.2">
      <c r="A24" t="s">
        <v>83</v>
      </c>
      <c r="B24">
        <v>59195875</v>
      </c>
      <c r="C24">
        <v>23.63</v>
      </c>
      <c r="D24">
        <f t="shared" si="0"/>
        <v>59</v>
      </c>
    </row>
    <row r="25" spans="1:4" x14ac:dyDescent="0.2">
      <c r="A25" t="s">
        <v>84</v>
      </c>
      <c r="B25">
        <v>57154850</v>
      </c>
      <c r="C25">
        <v>23.18</v>
      </c>
      <c r="D25">
        <f t="shared" si="0"/>
        <v>57</v>
      </c>
    </row>
    <row r="26" spans="1:4" x14ac:dyDescent="0.2">
      <c r="A26" t="s">
        <v>85</v>
      </c>
      <c r="B26">
        <v>55818750</v>
      </c>
      <c r="C26">
        <v>17.38</v>
      </c>
      <c r="D26">
        <f t="shared" si="0"/>
        <v>56</v>
      </c>
    </row>
    <row r="27" spans="1:4" x14ac:dyDescent="0.2">
      <c r="A27" t="s">
        <v>86</v>
      </c>
      <c r="B27">
        <v>47989350</v>
      </c>
      <c r="C27">
        <v>18.350000000000001</v>
      </c>
      <c r="D27">
        <f t="shared" si="0"/>
        <v>48</v>
      </c>
    </row>
    <row r="28" spans="1:4" x14ac:dyDescent="0.2">
      <c r="A28" t="s">
        <v>87</v>
      </c>
      <c r="B28">
        <v>44805250</v>
      </c>
      <c r="C28">
        <v>23.48</v>
      </c>
      <c r="D28">
        <f t="shared" si="0"/>
        <v>45</v>
      </c>
    </row>
    <row r="29" spans="1:4" x14ac:dyDescent="0.2">
      <c r="A29" t="s">
        <v>88</v>
      </c>
      <c r="B29">
        <v>41024175</v>
      </c>
      <c r="C29">
        <v>16.28</v>
      </c>
      <c r="D29">
        <f t="shared" si="0"/>
        <v>41</v>
      </c>
    </row>
    <row r="30" spans="1:4" x14ac:dyDescent="0.2">
      <c r="A30" t="s">
        <v>89</v>
      </c>
      <c r="B30">
        <v>40462275</v>
      </c>
      <c r="C30">
        <v>20.98</v>
      </c>
      <c r="D30">
        <f t="shared" si="0"/>
        <v>40</v>
      </c>
    </row>
    <row r="31" spans="1:4" x14ac:dyDescent="0.2">
      <c r="A31" t="s">
        <v>90</v>
      </c>
      <c r="B31">
        <v>35512225</v>
      </c>
      <c r="C31">
        <v>24.09</v>
      </c>
      <c r="D31">
        <f t="shared" si="0"/>
        <v>36</v>
      </c>
    </row>
    <row r="32" spans="1:4" x14ac:dyDescent="0.2">
      <c r="A32" t="s">
        <v>91</v>
      </c>
      <c r="B32">
        <v>32683575</v>
      </c>
      <c r="C32">
        <v>14.38</v>
      </c>
      <c r="D32">
        <f t="shared" si="0"/>
        <v>33</v>
      </c>
    </row>
    <row r="33" spans="1:4" x14ac:dyDescent="0.2">
      <c r="A33" t="s">
        <v>92</v>
      </c>
      <c r="B33">
        <v>28689875</v>
      </c>
      <c r="C33">
        <v>16.739999999999998</v>
      </c>
      <c r="D33">
        <f t="shared" si="0"/>
        <v>29</v>
      </c>
    </row>
    <row r="34" spans="1:4" x14ac:dyDescent="0.2">
      <c r="A34" t="s">
        <v>93</v>
      </c>
      <c r="B34">
        <v>27471500</v>
      </c>
      <c r="C34">
        <v>17.059999999999999</v>
      </c>
      <c r="D34">
        <f t="shared" si="0"/>
        <v>27</v>
      </c>
    </row>
    <row r="35" spans="1:4" x14ac:dyDescent="0.2">
      <c r="A35" t="s">
        <v>94</v>
      </c>
      <c r="B35">
        <v>26598050</v>
      </c>
      <c r="C35">
        <v>26.08</v>
      </c>
      <c r="D35">
        <f t="shared" si="0"/>
        <v>27</v>
      </c>
    </row>
    <row r="36" spans="1:4" x14ac:dyDescent="0.2">
      <c r="A36" t="s">
        <v>95</v>
      </c>
      <c r="B36">
        <v>24579575</v>
      </c>
      <c r="C36">
        <v>21.37</v>
      </c>
      <c r="D36">
        <f t="shared" si="0"/>
        <v>25</v>
      </c>
    </row>
    <row r="37" spans="1:4" x14ac:dyDescent="0.2">
      <c r="A37" t="s">
        <v>96</v>
      </c>
      <c r="B37">
        <v>23196100</v>
      </c>
      <c r="C37">
        <v>20.2</v>
      </c>
      <c r="D37">
        <f t="shared" si="0"/>
        <v>23</v>
      </c>
    </row>
    <row r="38" spans="1:4" x14ac:dyDescent="0.2">
      <c r="A38" t="s">
        <v>97</v>
      </c>
      <c r="B38">
        <v>15312700</v>
      </c>
      <c r="C38">
        <v>17.87</v>
      </c>
      <c r="D38">
        <f t="shared" si="0"/>
        <v>15</v>
      </c>
    </row>
    <row r="39" spans="1:4" x14ac:dyDescent="0.2">
      <c r="A39" t="s">
        <v>98</v>
      </c>
      <c r="B39">
        <v>14538175</v>
      </c>
      <c r="C39">
        <v>14.58</v>
      </c>
      <c r="D39">
        <f t="shared" si="0"/>
        <v>15</v>
      </c>
    </row>
    <row r="40" spans="1:4" x14ac:dyDescent="0.2">
      <c r="A40" t="s">
        <v>99</v>
      </c>
      <c r="B40">
        <v>12997675</v>
      </c>
      <c r="C40">
        <v>25.18</v>
      </c>
      <c r="D40">
        <f t="shared" si="0"/>
        <v>13</v>
      </c>
    </row>
    <row r="41" spans="1:4" x14ac:dyDescent="0.2">
      <c r="A41" t="s">
        <v>100</v>
      </c>
      <c r="B41">
        <v>12162275</v>
      </c>
      <c r="C41">
        <v>15.52</v>
      </c>
      <c r="D41">
        <f t="shared" si="0"/>
        <v>12</v>
      </c>
    </row>
    <row r="42" spans="1:4" x14ac:dyDescent="0.2">
      <c r="A42" t="s">
        <v>101</v>
      </c>
      <c r="B42">
        <v>11580775</v>
      </c>
      <c r="C42">
        <v>19.75</v>
      </c>
      <c r="D42">
        <f t="shared" si="0"/>
        <v>12</v>
      </c>
    </row>
    <row r="43" spans="1:4" x14ac:dyDescent="0.2">
      <c r="A43" t="s">
        <v>102</v>
      </c>
      <c r="B43">
        <v>10908150</v>
      </c>
      <c r="C43">
        <v>19.66</v>
      </c>
      <c r="D43">
        <f t="shared" si="0"/>
        <v>11</v>
      </c>
    </row>
    <row r="44" spans="1:4" x14ac:dyDescent="0.2">
      <c r="A44" t="s">
        <v>103</v>
      </c>
      <c r="B44">
        <v>9683300</v>
      </c>
      <c r="C44">
        <v>16.87</v>
      </c>
      <c r="D44">
        <f t="shared" si="0"/>
        <v>10</v>
      </c>
    </row>
    <row r="45" spans="1:4" x14ac:dyDescent="0.2">
      <c r="A45" t="s">
        <v>104</v>
      </c>
      <c r="B45">
        <v>8768425</v>
      </c>
      <c r="C45">
        <v>21.32</v>
      </c>
      <c r="D45">
        <f t="shared" si="0"/>
        <v>9</v>
      </c>
    </row>
    <row r="46" spans="1:4" x14ac:dyDescent="0.2">
      <c r="A46" t="s">
        <v>105</v>
      </c>
      <c r="B46">
        <v>7978300</v>
      </c>
      <c r="C46">
        <v>16.77</v>
      </c>
      <c r="D46">
        <f t="shared" si="0"/>
        <v>8</v>
      </c>
    </row>
    <row r="47" spans="1:4" x14ac:dyDescent="0.2">
      <c r="A47" t="s">
        <v>106</v>
      </c>
      <c r="B47">
        <v>7314800</v>
      </c>
      <c r="C47">
        <v>13.21</v>
      </c>
      <c r="D47">
        <f t="shared" si="0"/>
        <v>7</v>
      </c>
    </row>
    <row r="48" spans="1:4" x14ac:dyDescent="0.2">
      <c r="A48" t="s">
        <v>107</v>
      </c>
      <c r="B48">
        <v>5354550</v>
      </c>
      <c r="C48">
        <v>13.95</v>
      </c>
      <c r="D48">
        <f t="shared" si="0"/>
        <v>5</v>
      </c>
    </row>
    <row r="49" spans="1:4" x14ac:dyDescent="0.2">
      <c r="A49" t="s">
        <v>108</v>
      </c>
      <c r="B49">
        <v>5134475</v>
      </c>
      <c r="C49">
        <v>20.47</v>
      </c>
      <c r="D49">
        <f t="shared" si="0"/>
        <v>5</v>
      </c>
    </row>
    <row r="50" spans="1:4" x14ac:dyDescent="0.2">
      <c r="A50" t="s">
        <v>109</v>
      </c>
      <c r="B50">
        <v>4531450</v>
      </c>
      <c r="C50">
        <v>18.829999999999998</v>
      </c>
      <c r="D50">
        <f t="shared" si="0"/>
        <v>5</v>
      </c>
    </row>
    <row r="51" spans="1:4" x14ac:dyDescent="0.2">
      <c r="A51" t="s">
        <v>110</v>
      </c>
      <c r="B51">
        <v>4410900</v>
      </c>
      <c r="C51">
        <v>13.84</v>
      </c>
      <c r="D51">
        <f t="shared" si="0"/>
        <v>4</v>
      </c>
    </row>
    <row r="52" spans="1:4" x14ac:dyDescent="0.2">
      <c r="A52" t="s">
        <v>111</v>
      </c>
      <c r="B52">
        <v>7200</v>
      </c>
      <c r="C52">
        <v>14.29</v>
      </c>
      <c r="D52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Credit_Risk_Dashboard</vt:lpstr>
      <vt:lpstr>Top_KPIs</vt:lpstr>
      <vt:lpstr>ROI_Data</vt:lpstr>
      <vt:lpstr>LGD_Data</vt:lpstr>
      <vt:lpstr>FICO_DTI_Data</vt:lpstr>
      <vt:lpstr>Utilization_Data</vt:lpstr>
      <vt:lpstr>Term_Data</vt:lpstr>
      <vt:lpstr>Emp_Length_Data</vt:lpstr>
      <vt:lpstr>Purpose_Data</vt:lpstr>
      <vt:lpstr>Loan_Amount_Data</vt:lpstr>
      <vt:lpstr>State_Data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Sharma</cp:lastModifiedBy>
  <dcterms:created xsi:type="dcterms:W3CDTF">2026-10-03T08:55:28Z</dcterms:created>
  <dcterms:modified xsi:type="dcterms:W3CDTF">2026-10-04T12:24:36Z</dcterms:modified>
</cp:coreProperties>
</file>