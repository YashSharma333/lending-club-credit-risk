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yashsharma/Documents/lending_portfolio_model/"/>
    </mc:Choice>
  </mc:AlternateContent>
  <xr:revisionPtr revIDLastSave="0" documentId="13_ncr:1_{110D0D03-5981-E14E-BC22-9702EEA904BF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Credit_Risk_Dashboard" sheetId="12" r:id="rId1"/>
    <sheet name="Top_KPIs" sheetId="1" state="hidden" r:id="rId2"/>
    <sheet name="ROI_Data" sheetId="2" state="hidden" r:id="rId3"/>
    <sheet name="LGD_Data" sheetId="3" state="hidden" r:id="rId4"/>
    <sheet name="FICO_DTI_Data" sheetId="4" state="hidden" r:id="rId5"/>
    <sheet name="Utilization_Data" sheetId="5" state="hidden" r:id="rId6"/>
    <sheet name="Term_Data" sheetId="6" state="hidden" r:id="rId7"/>
    <sheet name="Emp_Length_Data" sheetId="7" state="hidden" r:id="rId8"/>
    <sheet name="Purpose_Data" sheetId="8" state="hidden" r:id="rId9"/>
    <sheet name="Loan_Amount_Data" sheetId="9" state="hidden" r:id="rId10"/>
    <sheet name="State_Data" sheetId="10" state="hidden" r:id="rId11"/>
  </sheets>
  <definedNames>
    <definedName name="_xlchart.v5.0" hidden="1">State_Data!$A$1</definedName>
    <definedName name="_xlchart.v5.1" hidden="1">State_Data!$A$2:$A$52</definedName>
    <definedName name="_xlchart.v5.2" hidden="1">State_Data!$B$1</definedName>
    <definedName name="_xlchart.v5.3" hidden="1">State_Data!$B$2:$B$52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U2" i="12" s="1"/>
  <c r="P2" i="12"/>
  <c r="K2" i="12"/>
  <c r="G2" i="12"/>
</calcChain>
</file>

<file path=xl/sharedStrings.xml><?xml version="1.0" encoding="utf-8"?>
<sst xmlns="http://schemas.openxmlformats.org/spreadsheetml/2006/main" count="151" uniqueCount="117">
  <si>
    <t>total_borrowers</t>
  </si>
  <si>
    <t>total_loan_amount</t>
  </si>
  <si>
    <t>amount_at_risk</t>
  </si>
  <si>
    <t>overall_default_rate</t>
  </si>
  <si>
    <t>grade</t>
  </si>
  <si>
    <t>total_closed_loans</t>
  </si>
  <si>
    <t>total_cap_dep</t>
  </si>
  <si>
    <t>net_return</t>
  </si>
  <si>
    <t>roi_percentage</t>
  </si>
  <si>
    <t>A</t>
  </si>
  <si>
    <t>B</t>
  </si>
  <si>
    <t>C</t>
  </si>
  <si>
    <t>D</t>
  </si>
  <si>
    <t>E</t>
  </si>
  <si>
    <t>F</t>
  </si>
  <si>
    <t>G</t>
  </si>
  <si>
    <t>total_defaults</t>
  </si>
  <si>
    <t>avg_loan_amount</t>
  </si>
  <si>
    <t>avg_lgd_percentage</t>
  </si>
  <si>
    <t>recovery_rate_percentage</t>
  </si>
  <si>
    <t>fico_bracket</t>
  </si>
  <si>
    <t>dti_bracket</t>
  </si>
  <si>
    <t>total_loans</t>
  </si>
  <si>
    <t>default_rate</t>
  </si>
  <si>
    <t>1. Excellent (750+)</t>
  </si>
  <si>
    <t>1. Low (&lt;15%)</t>
  </si>
  <si>
    <t>2. Moderate (15-25%)</t>
  </si>
  <si>
    <t>3. High (&gt;25%)</t>
  </si>
  <si>
    <t>2. Good (700-749)</t>
  </si>
  <si>
    <t>3. Fair (660-699)</t>
  </si>
  <si>
    <t>4. Poor (&lt;660)</t>
  </si>
  <si>
    <t>utilization_bracket</t>
  </si>
  <si>
    <t>1. Low (&lt;30%)</t>
  </si>
  <si>
    <t>2. Moderate (30-60%)</t>
  </si>
  <si>
    <t>3. High (60-90%)</t>
  </si>
  <si>
    <t>4. Maxed Out (&gt;90%)</t>
  </si>
  <si>
    <t>term</t>
  </si>
  <si>
    <t xml:space="preserve"> 36 months</t>
  </si>
  <si>
    <t xml:space="preserve"> 60 months</t>
  </si>
  <si>
    <t>employment_duration</t>
  </si>
  <si>
    <t>1. Junior (&lt;2 yrs)</t>
  </si>
  <si>
    <t>2. Mid (2-5 yrs)</t>
  </si>
  <si>
    <t>3. Senior (6-9 yrs)</t>
  </si>
  <si>
    <t>4. Veteran (10+ yrs)</t>
  </si>
  <si>
    <t>5. Unknown</t>
  </si>
  <si>
    <t>purpose</t>
  </si>
  <si>
    <t>debt_consolidation</t>
  </si>
  <si>
    <t>credit_card</t>
  </si>
  <si>
    <t>home_improvement</t>
  </si>
  <si>
    <t>other</t>
  </si>
  <si>
    <t>major_purchase</t>
  </si>
  <si>
    <t>medical</t>
  </si>
  <si>
    <t>small_business</t>
  </si>
  <si>
    <t>car</t>
  </si>
  <si>
    <t>loan_amount_bin</t>
  </si>
  <si>
    <t>1. $0-$8k</t>
  </si>
  <si>
    <t>2. $8k-$16k</t>
  </si>
  <si>
    <t>3. $16k-$24k</t>
  </si>
  <si>
    <t>4. $24k-$32k</t>
  </si>
  <si>
    <t>5. $32k+</t>
  </si>
  <si>
    <t>state</t>
  </si>
  <si>
    <t>CA</t>
  </si>
  <si>
    <t>NY</t>
  </si>
  <si>
    <t>TX</t>
  </si>
  <si>
    <t>FL</t>
  </si>
  <si>
    <t>NJ</t>
  </si>
  <si>
    <t>IL</t>
  </si>
  <si>
    <t>PA</t>
  </si>
  <si>
    <t>OH</t>
  </si>
  <si>
    <t>GA</t>
  </si>
  <si>
    <t>VA</t>
  </si>
  <si>
    <t>NC</t>
  </si>
  <si>
    <t>MD</t>
  </si>
  <si>
    <t>MI</t>
  </si>
  <si>
    <t>AZ</t>
  </si>
  <si>
    <t>MA</t>
  </si>
  <si>
    <t>MN</t>
  </si>
  <si>
    <t>WA</t>
  </si>
  <si>
    <t>CO</t>
  </si>
  <si>
    <t>IN</t>
  </si>
  <si>
    <t>MO</t>
  </si>
  <si>
    <t>TN</t>
  </si>
  <si>
    <t>NV</t>
  </si>
  <si>
    <t>AL</t>
  </si>
  <si>
    <t>LA</t>
  </si>
  <si>
    <t>CT</t>
  </si>
  <si>
    <t>WI</t>
  </si>
  <si>
    <t>OK</t>
  </si>
  <si>
    <t>SC</t>
  </si>
  <si>
    <t>KY</t>
  </si>
  <si>
    <t>AR</t>
  </si>
  <si>
    <t>OR</t>
  </si>
  <si>
    <t>KS</t>
  </si>
  <si>
    <t>UT</t>
  </si>
  <si>
    <t>MS</t>
  </si>
  <si>
    <t>NM</t>
  </si>
  <si>
    <t>HI</t>
  </si>
  <si>
    <t>RI</t>
  </si>
  <si>
    <t>NH</t>
  </si>
  <si>
    <t>NE</t>
  </si>
  <si>
    <t>WV</t>
  </si>
  <si>
    <t>DE</t>
  </si>
  <si>
    <t>AK</t>
  </si>
  <si>
    <t>MT</t>
  </si>
  <si>
    <t>SD</t>
  </si>
  <si>
    <t>WY</t>
  </si>
  <si>
    <t>DC</t>
  </si>
  <si>
    <t>VT</t>
  </si>
  <si>
    <t>ND</t>
  </si>
  <si>
    <t>ID</t>
  </si>
  <si>
    <t>ME</t>
  </si>
  <si>
    <t>IA</t>
  </si>
  <si>
    <t>Total Borrowers</t>
  </si>
  <si>
    <t>CREDIT RISK REPORT</t>
  </si>
  <si>
    <r>
      <t>Default</t>
    </r>
    <r>
      <rPr>
        <sz val="18"/>
        <color rgb="FF000000"/>
        <rFont val="Calibri"/>
        <family val="2"/>
        <scheme val="minor"/>
      </rPr>
      <t xml:space="preserve"> </t>
    </r>
    <r>
      <rPr>
        <sz val="18"/>
        <color rgb="FFE2E8F0"/>
        <rFont val="Calibri"/>
        <family val="2"/>
        <scheme val="minor"/>
      </rPr>
      <t>Rate</t>
    </r>
  </si>
  <si>
    <r>
      <t>Capital</t>
    </r>
    <r>
      <rPr>
        <sz val="18"/>
        <color rgb="FF000000"/>
        <rFont val="Calibri"/>
        <family val="2"/>
        <scheme val="minor"/>
      </rPr>
      <t xml:space="preserve"> </t>
    </r>
    <r>
      <rPr>
        <sz val="18"/>
        <color rgb="FFE2E8F0"/>
        <rFont val="Calibri"/>
        <family val="2"/>
        <scheme val="minor"/>
      </rPr>
      <t>at</t>
    </r>
    <r>
      <rPr>
        <sz val="18"/>
        <color rgb="FF000000"/>
        <rFont val="Calibri"/>
        <family val="2"/>
        <scheme val="minor"/>
      </rPr>
      <t xml:space="preserve"> </t>
    </r>
    <r>
      <rPr>
        <sz val="18"/>
        <color rgb="FFE2E8F0"/>
        <rFont val="Calibri"/>
        <family val="2"/>
        <scheme val="minor"/>
      </rPr>
      <t>Risk</t>
    </r>
  </si>
  <si>
    <r>
      <t>Total</t>
    </r>
    <r>
      <rPr>
        <sz val="18"/>
        <color rgb="FF000000"/>
        <rFont val="Calibri"/>
        <family val="2"/>
        <scheme val="minor"/>
      </rPr>
      <t xml:space="preserve"> </t>
    </r>
    <r>
      <rPr>
        <sz val="18"/>
        <color rgb="FFE2E8F0"/>
        <rFont val="Calibri"/>
        <family val="2"/>
        <scheme val="minor"/>
      </rPr>
      <t>Volume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</si>
</sst>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,,,&quot;B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18"/>
      <color rgb="FFE2E8F0"/>
      <name val="Calibri"/>
      <family val="2"/>
      <scheme val="minor"/>
    </font>
    <font>
      <sz val="22"/>
      <color rgb="FFE2E8F0"/>
      <name val="Calibri"/>
      <family val="2"/>
      <scheme val="minor"/>
    </font>
    <font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16">
    <border>
      <left/>
      <right/>
      <top/>
      <bottom/>
      <diagonal/>
    </border>
    <border>
      <left style="thin">
        <color theme="3" tint="0.59996337778862885"/>
      </left>
      <right/>
      <top/>
      <bottom style="thin">
        <color theme="3" tint="0.59996337778862885"/>
      </bottom>
      <diagonal/>
    </border>
    <border>
      <left/>
      <right/>
      <top/>
      <bottom style="thin">
        <color theme="3" tint="0.59996337778862885"/>
      </bottom>
      <diagonal/>
    </border>
    <border>
      <left/>
      <right style="thin">
        <color theme="3" tint="0.59996337778862885"/>
      </right>
      <top/>
      <bottom style="thin">
        <color theme="3" tint="0.59996337778862885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3" tint="0.59996337778862885"/>
      </right>
      <top style="thin">
        <color theme="0"/>
      </top>
      <bottom/>
      <diagonal/>
    </border>
    <border>
      <left style="thin">
        <color theme="3" tint="0.59996337778862885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3" tint="0.59996337778862885"/>
      </bottom>
      <diagonal/>
    </border>
    <border>
      <left/>
      <right style="thin">
        <color theme="0"/>
      </right>
      <top/>
      <bottom style="thin">
        <color theme="3" tint="0.59996337778862885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/>
    </xf>
    <xf numFmtId="3" fontId="5" fillId="2" borderId="2" xfId="0" applyNumberFormat="1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2" borderId="5" xfId="0" applyFill="1" applyBorder="1"/>
    <xf numFmtId="0" fontId="4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0" fillId="2" borderId="0" xfId="0" applyFill="1" applyBorder="1"/>
    <xf numFmtId="10" fontId="5" fillId="2" borderId="10" xfId="1" applyNumberFormat="1" applyFont="1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2" fillId="2" borderId="11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colors>
    <mruColors>
      <color rgb="FF0F172A"/>
      <color rgb="FF1E293B"/>
      <color rgb="FF38BDF8"/>
      <color rgb="FFEF4444"/>
      <color rgb="FFE2E8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solidFill>
                  <a:schemeClr val="bg1"/>
                </a:solidFill>
                <a:effectLst/>
              </a:rPr>
              <a:t>Yield by Grade</a:t>
            </a:r>
            <a:endParaRPr lang="en-US" sz="16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ROI_Data!$E$1</c:f>
              <c:strCache>
                <c:ptCount val="1"/>
                <c:pt idx="0">
                  <c:v>roi_percentage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8BD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BD-5140-9C17-E746EE2BE8CC}"/>
              </c:ext>
            </c:extLst>
          </c:dPt>
          <c:dPt>
            <c:idx val="1"/>
            <c:invertIfNegative val="0"/>
            <c:bubble3D val="0"/>
            <c:spPr>
              <a:solidFill>
                <a:srgbClr val="38BD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BD-5140-9C17-E746EE2BE8CC}"/>
              </c:ext>
            </c:extLst>
          </c:dPt>
          <c:dPt>
            <c:idx val="2"/>
            <c:invertIfNegative val="0"/>
            <c:bubble3D val="0"/>
            <c:spPr>
              <a:solidFill>
                <a:srgbClr val="38BD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D-5140-9C17-E746EE2BE8CC}"/>
              </c:ext>
            </c:extLst>
          </c:dPt>
          <c:dPt>
            <c:idx val="3"/>
            <c:invertIfNegative val="0"/>
            <c:bubble3D val="0"/>
            <c:spPr>
              <a:solidFill>
                <a:srgbClr val="38BD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1BD-5140-9C17-E746EE2BE8CC}"/>
              </c:ext>
            </c:extLst>
          </c:dPt>
          <c:dPt>
            <c:idx val="4"/>
            <c:invertIfNegative val="0"/>
            <c:bubble3D val="0"/>
            <c:spPr>
              <a:solidFill>
                <a:srgbClr val="EF444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1BD-5140-9C17-E746EE2BE8CC}"/>
              </c:ext>
            </c:extLst>
          </c:dPt>
          <c:dPt>
            <c:idx val="5"/>
            <c:invertIfNegative val="0"/>
            <c:bubble3D val="0"/>
            <c:spPr>
              <a:solidFill>
                <a:srgbClr val="EF444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1BD-5140-9C17-E746EE2BE8CC}"/>
              </c:ext>
            </c:extLst>
          </c:dPt>
          <c:dPt>
            <c:idx val="6"/>
            <c:invertIfNegative val="0"/>
            <c:bubble3D val="0"/>
            <c:spPr>
              <a:solidFill>
                <a:srgbClr val="EF444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1BD-5140-9C17-E746EE2BE8CC}"/>
              </c:ext>
            </c:extLst>
          </c:dPt>
          <c:dLbls>
            <c:numFmt formatCode="0.0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ROI_Data!$A$2:$A$8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ROI_Data!$E$2:$E$8</c:f>
              <c:numCache>
                <c:formatCode>General</c:formatCode>
                <c:ptCount val="7"/>
                <c:pt idx="0">
                  <c:v>5.32</c:v>
                </c:pt>
                <c:pt idx="1">
                  <c:v>5.2</c:v>
                </c:pt>
                <c:pt idx="2">
                  <c:v>2.73</c:v>
                </c:pt>
                <c:pt idx="3">
                  <c:v>0.49</c:v>
                </c:pt>
                <c:pt idx="4">
                  <c:v>-1.37</c:v>
                </c:pt>
                <c:pt idx="5">
                  <c:v>-4.03</c:v>
                </c:pt>
                <c:pt idx="6">
                  <c:v>-8.77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1BD-5140-9C17-E746EE2BE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321344"/>
        <c:axId val="823319552"/>
      </c:barChart>
      <c:catAx>
        <c:axId val="82332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bg1"/>
                    </a:solidFill>
                    <a:effectLst/>
                  </a:rPr>
                  <a:t>Loan Grade</a:t>
                </a:r>
                <a:endParaRPr lang="en-GB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771626297577855"/>
              <c:y val="0.592360665896031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40000"/>
                <a:lumOff val="6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19552"/>
        <c:crosses val="autoZero"/>
        <c:auto val="1"/>
        <c:lblAlgn val="ctr"/>
        <c:lblOffset val="100"/>
        <c:noMultiLvlLbl val="0"/>
      </c:catAx>
      <c:valAx>
        <c:axId val="82331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2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solidFill>
                  <a:schemeClr val="bg1"/>
                </a:solidFill>
                <a:effectLst/>
              </a:rPr>
              <a:t>Loss Given Default</a:t>
            </a:r>
            <a:endParaRPr lang="en-US" sz="16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Loss Given Default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.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LGD_Data!$A$2:$A$8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LGD_Data!$D$2:$D$8</c:f>
              <c:numCache>
                <c:formatCode>General</c:formatCode>
                <c:ptCount val="7"/>
                <c:pt idx="0">
                  <c:v>44.89</c:v>
                </c:pt>
                <c:pt idx="1">
                  <c:v>44.66</c:v>
                </c:pt>
                <c:pt idx="2">
                  <c:v>46.23</c:v>
                </c:pt>
                <c:pt idx="3">
                  <c:v>46.3</c:v>
                </c:pt>
                <c:pt idx="4">
                  <c:v>45.87</c:v>
                </c:pt>
                <c:pt idx="5">
                  <c:v>46.06</c:v>
                </c:pt>
                <c:pt idx="6">
                  <c:v>49.88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1-534E-91D8-76EE8642E7F7}"/>
            </c:ext>
          </c:extLst>
        </c:ser>
        <c:ser>
          <c:idx val="1"/>
          <c:order val="1"/>
          <c:tx>
            <c:v>Recovery Rate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.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LGD_Data!$A$2:$A$8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LGD_Data!$E$2:$E$8</c:f>
              <c:numCache>
                <c:formatCode>General</c:formatCode>
                <c:ptCount val="7"/>
                <c:pt idx="0">
                  <c:v>5.97</c:v>
                </c:pt>
                <c:pt idx="1">
                  <c:v>6.59</c:v>
                </c:pt>
                <c:pt idx="2">
                  <c:v>7.31</c:v>
                </c:pt>
                <c:pt idx="3">
                  <c:v>7.8</c:v>
                </c:pt>
                <c:pt idx="4">
                  <c:v>8.6199999999999992</c:v>
                </c:pt>
                <c:pt idx="5">
                  <c:v>9.32</c:v>
                </c:pt>
                <c:pt idx="6">
                  <c:v>9.69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1-534E-91D8-76EE8642E7F7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23321344"/>
        <c:axId val="823319552"/>
      </c:barChart>
      <c:catAx>
        <c:axId val="823321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bg1"/>
                    </a:solidFill>
                    <a:effectLst/>
                  </a:rPr>
                  <a:t>Loan Grade</a:t>
                </a:r>
                <a:endParaRPr lang="en-GB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19552"/>
        <c:crosses val="autoZero"/>
        <c:auto val="1"/>
        <c:lblAlgn val="ctr"/>
        <c:lblOffset val="100"/>
        <c:noMultiLvlLbl val="0"/>
      </c:catAx>
      <c:valAx>
        <c:axId val="823319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bg1"/>
                    </a:solidFill>
                    <a:effectLst/>
                  </a:rPr>
                  <a:t>Percentage (%)</a:t>
                </a:r>
                <a:endParaRPr lang="en-GB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2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>
                <a:solidFill>
                  <a:schemeClr val="bg1"/>
                </a:solidFill>
              </a:rPr>
              <a:t>Default Rate by Credit Utilization</a:t>
            </a:r>
            <a:endParaRPr lang="en-US" sz="16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Utilization_Data!$C$1</c:f>
              <c:strCache>
                <c:ptCount val="1"/>
                <c:pt idx="0">
                  <c:v>default_rate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A6F-C14C-948B-167EFEC68709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1F-A64E-A7C6-4A86F5385656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1F-A64E-A7C6-4A86F5385656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1F-A64E-A7C6-4A86F5385656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Utilization_Data!$A$2:$A$5</c:f>
              <c:strCache>
                <c:ptCount val="4"/>
                <c:pt idx="0">
                  <c:v>1. Low (&lt;30%)</c:v>
                </c:pt>
                <c:pt idx="1">
                  <c:v>2. Moderate (30-60%)</c:v>
                </c:pt>
                <c:pt idx="2">
                  <c:v>3. High (60-90%)</c:v>
                </c:pt>
                <c:pt idx="3">
                  <c:v>4. Maxed Out (&gt;90%)</c:v>
                </c:pt>
              </c:strCache>
            </c:strRef>
          </c:cat>
          <c:val>
            <c:numRef>
              <c:f>Utilization_Data!$C$2:$C$5</c:f>
              <c:numCache>
                <c:formatCode>General</c:formatCode>
                <c:ptCount val="4"/>
                <c:pt idx="0">
                  <c:v>0.1588</c:v>
                </c:pt>
                <c:pt idx="1">
                  <c:v>0.19950000000000001</c:v>
                </c:pt>
                <c:pt idx="2">
                  <c:v>0.21959999999999999</c:v>
                </c:pt>
                <c:pt idx="3">
                  <c:v>0.23319999999999999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F-C14C-948B-167EFEC687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effectLst/>
              </a:rPr>
              <a:t>Employment Length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Emp_Length_Data!$C$1</c:f>
              <c:strCache>
                <c:ptCount val="1"/>
                <c:pt idx="0">
                  <c:v>default_rate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BBC-B74C-A191-820D4F266DA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BBC-B74C-A191-820D4F266DA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BBC-B74C-A191-820D4F266DA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BBC-B74C-A191-820D4F266DA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BBC-B74C-A191-820D4F266DA1}"/>
              </c:ext>
            </c:extLst>
          </c:dPt>
          <c:dLbls>
            <c:dLbl>
              <c:idx val="0"/>
              <c:layout>
                <c:manualLayout>
                  <c:x val="0.10555555555555556"/>
                  <c:y val="-0.1312530706540605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BC-B74C-A191-820D4F266DA1}"/>
                </c:ext>
              </c:extLst>
            </c:dLbl>
            <c:dLbl>
              <c:idx val="1"/>
              <c:layout>
                <c:manualLayout>
                  <c:x val="0.14166666666666666"/>
                  <c:y val="7.74056570523947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BC-B74C-A191-820D4F266DA1}"/>
                </c:ext>
              </c:extLst>
            </c:dLbl>
            <c:dLbl>
              <c:idx val="2"/>
              <c:layout>
                <c:manualLayout>
                  <c:x val="0.22222222222222221"/>
                  <c:y val="7.40401937022905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BC-B74C-A191-820D4F266DA1}"/>
                </c:ext>
              </c:extLst>
            </c:dLbl>
            <c:dLbl>
              <c:idx val="3"/>
              <c:layout>
                <c:manualLayout>
                  <c:x val="-0.15277777777777779"/>
                  <c:y val="5.048195025156163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BBC-B74C-A191-820D4F266DA1}"/>
                </c:ext>
              </c:extLst>
            </c:dLbl>
            <c:dLbl>
              <c:idx val="4"/>
              <c:layout>
                <c:manualLayout>
                  <c:x val="-0.14722222222222223"/>
                  <c:y val="-0.1211566806037482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BBC-B74C-A191-820D4F266D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Emp_Length_Data!$A$2:$A$6</c:f>
              <c:strCache>
                <c:ptCount val="5"/>
                <c:pt idx="0">
                  <c:v>1. Junior (&lt;2 yrs)</c:v>
                </c:pt>
                <c:pt idx="1">
                  <c:v>2. Mid (2-5 yrs)</c:v>
                </c:pt>
                <c:pt idx="2">
                  <c:v>3. Senior (6-9 yrs)</c:v>
                </c:pt>
                <c:pt idx="3">
                  <c:v>4. Veteran (10+ yrs)</c:v>
                </c:pt>
                <c:pt idx="4">
                  <c:v>5. Unknown</c:v>
                </c:pt>
              </c:strCache>
            </c:strRef>
          </c:cat>
          <c:val>
            <c:numRef>
              <c:f>Emp_Length_Data!$C$2:$C$6</c:f>
              <c:numCache>
                <c:formatCode>General</c:formatCode>
                <c:ptCount val="5"/>
                <c:pt idx="0">
                  <c:v>20.54</c:v>
                </c:pt>
                <c:pt idx="1">
                  <c:v>19.79</c:v>
                </c:pt>
                <c:pt idx="2">
                  <c:v>19.66</c:v>
                </c:pt>
                <c:pt idx="3">
                  <c:v>18.78</c:v>
                </c:pt>
                <c:pt idx="4">
                  <c:v>26.91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BC-B74C-A191-820D4F266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effectLst/>
              </a:rPr>
              <a:t>Risk by Loan Bracket</a:t>
            </a:r>
            <a:endParaRPr lang="en-GB" sz="16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Amount at Risk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Loan_Amount_Data!$A$2:$A$6</c:f>
              <c:strCache>
                <c:ptCount val="5"/>
                <c:pt idx="0">
                  <c:v>1. $0-$8k</c:v>
                </c:pt>
                <c:pt idx="1">
                  <c:v>2. $8k-$16k</c:v>
                </c:pt>
                <c:pt idx="2">
                  <c:v>3. $16k-$24k</c:v>
                </c:pt>
                <c:pt idx="3">
                  <c:v>4. $24k-$32k</c:v>
                </c:pt>
                <c:pt idx="4">
                  <c:v>5. $32k+</c:v>
                </c:pt>
              </c:strCache>
            </c:strRef>
          </c:cat>
          <c:val>
            <c:numRef>
              <c:f>Loan_Amount_Data!$B$2:$B$6</c:f>
              <c:numCache>
                <c:formatCode>General</c:formatCode>
                <c:ptCount val="5"/>
                <c:pt idx="0">
                  <c:v>332291100</c:v>
                </c:pt>
                <c:pt idx="1">
                  <c:v>1246815900</c:v>
                </c:pt>
                <c:pt idx="2">
                  <c:v>1182306650</c:v>
                </c:pt>
                <c:pt idx="3">
                  <c:v>826534125</c:v>
                </c:pt>
                <c:pt idx="4">
                  <c:v>592187950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1-6944-BDF8-A1033F989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14466752"/>
        <c:axId val="1610997184"/>
      </c:barChart>
      <c:lineChart>
        <c:grouping val="standard"/>
        <c:varyColors val="0"/>
        <c:ser>
          <c:idx val="1"/>
          <c:order val="1"/>
          <c:tx>
            <c:v>Default Rate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Loan_Amount_Data!$A$2:$A$6</c:f>
              <c:strCache>
                <c:ptCount val="5"/>
                <c:pt idx="0">
                  <c:v>1. $0-$8k</c:v>
                </c:pt>
                <c:pt idx="1">
                  <c:v>2. $8k-$16k</c:v>
                </c:pt>
                <c:pt idx="2">
                  <c:v>3. $16k-$24k</c:v>
                </c:pt>
                <c:pt idx="3">
                  <c:v>4. $24k-$32k</c:v>
                </c:pt>
                <c:pt idx="4">
                  <c:v>5. $32k+</c:v>
                </c:pt>
              </c:strCache>
            </c:strRef>
          </c:cat>
          <c:val>
            <c:numRef>
              <c:f>Loan_Amount_Data!$C$2:$C$6</c:f>
              <c:numCache>
                <c:formatCode>General</c:formatCode>
                <c:ptCount val="5"/>
                <c:pt idx="0">
                  <c:v>16.059999999999999</c:v>
                </c:pt>
                <c:pt idx="1">
                  <c:v>20.100000000000001</c:v>
                </c:pt>
                <c:pt idx="2">
                  <c:v>22.85</c:v>
                </c:pt>
                <c:pt idx="3">
                  <c:v>23</c:v>
                </c:pt>
                <c:pt idx="4">
                  <c:v>24.11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1-6944-BDF8-A1033F989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604928"/>
        <c:axId val="935605824"/>
      </c:lineChart>
      <c:catAx>
        <c:axId val="93560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bg1"/>
                    </a:solidFill>
                    <a:effectLst/>
                  </a:rPr>
                  <a:t>Loan Amount Bracket</a:t>
                </a:r>
                <a:endParaRPr lang="en-GB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605824"/>
        <c:crosses val="autoZero"/>
        <c:auto val="1"/>
        <c:lblAlgn val="ctr"/>
        <c:lblOffset val="100"/>
        <c:noMultiLvlLbl val="0"/>
      </c:catAx>
      <c:valAx>
        <c:axId val="935605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bg1"/>
                    </a:solidFill>
                    <a:effectLst/>
                  </a:rPr>
                  <a:t>Default Rate (%)</a:t>
                </a:r>
                <a:endParaRPr lang="en-GB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604928"/>
        <c:crosses val="autoZero"/>
        <c:crossBetween val="between"/>
      </c:valAx>
      <c:valAx>
        <c:axId val="16109971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bg1"/>
                    </a:solidFill>
                    <a:effectLst/>
                  </a:rPr>
                  <a:t>Amount at Risk ($)</a:t>
                </a:r>
                <a:endParaRPr lang="en-GB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66752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314466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0997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Risk by Loan Purpose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Purpose_Data!$B$1</c:f>
              <c:strCache>
                <c:ptCount val="1"/>
                <c:pt idx="0">
                  <c:v>total_loans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D4-954C-8724-9E2CE83CAF3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Purpose_Data!$A$2:$A$9</c:f>
              <c:strCache>
                <c:ptCount val="8"/>
                <c:pt idx="0">
                  <c:v>debt_consolidation</c:v>
                </c:pt>
                <c:pt idx="1">
                  <c:v>credit_card</c:v>
                </c:pt>
                <c:pt idx="2">
                  <c:v>home_improvement</c:v>
                </c:pt>
                <c:pt idx="3">
                  <c:v>other</c:v>
                </c:pt>
                <c:pt idx="4">
                  <c:v>major_purchase</c:v>
                </c:pt>
                <c:pt idx="5">
                  <c:v>medical</c:v>
                </c:pt>
                <c:pt idx="6">
                  <c:v>small_business</c:v>
                </c:pt>
                <c:pt idx="7">
                  <c:v>car</c:v>
                </c:pt>
              </c:strCache>
            </c:strRef>
          </c:cat>
          <c:val>
            <c:numRef>
              <c:f>Purpose_Data!$B$2:$B$9</c:f>
              <c:numCache>
                <c:formatCode>General</c:formatCode>
                <c:ptCount val="8"/>
                <c:pt idx="0">
                  <c:v>780321</c:v>
                </c:pt>
                <c:pt idx="1">
                  <c:v>295279</c:v>
                </c:pt>
                <c:pt idx="2">
                  <c:v>87504</c:v>
                </c:pt>
                <c:pt idx="3">
                  <c:v>77875</c:v>
                </c:pt>
                <c:pt idx="4">
                  <c:v>29425</c:v>
                </c:pt>
                <c:pt idx="5">
                  <c:v>15554</c:v>
                </c:pt>
                <c:pt idx="6">
                  <c:v>15416</c:v>
                </c:pt>
                <c:pt idx="7">
                  <c:v>14585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8D4-954C-8724-9E2CE83CAF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4558080"/>
        <c:axId val="864553152"/>
      </c:barChart>
      <c:catAx>
        <c:axId val="86455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0" i="0" u="none" strike="noStrike" cap="all" baseline="0">
                    <a:effectLst/>
                  </a:rPr>
                  <a:t>Purpose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553152"/>
        <c:crosses val="autoZero"/>
        <c:auto val="1"/>
        <c:lblAlgn val="ctr"/>
        <c:lblOffset val="100"/>
        <c:noMultiLvlLbl val="0"/>
      </c:catAx>
      <c:valAx>
        <c:axId val="864553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0" i="0" u="none" strike="noStrike" cap="all" baseline="0">
                    <a:effectLst/>
                  </a:rPr>
                  <a:t>Total Volume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55808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solidFill>
        <a:schemeClr val="accent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r>
              <a:rPr lang="en-IN" sz="1600" b="0" i="0" u="none" strike="noStrike" baseline="0">
                <a:solidFill>
                  <a:sysClr val="window" lastClr="FFFFFF">
                    <a:lumMod val="9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Amount at Risk by State</a:t>
            </a:r>
            <a:endParaRPr lang="en-GB" sz="16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/>
            </a:endParaRPr>
          </a:p>
        </cx:rich>
      </cx:tx>
    </cx:title>
    <cx:plotArea>
      <cx:plotAreaRegion>
        <cx:plotSurface>
          <cx:spPr>
            <a:noFill/>
            <a:ln>
              <a:solidFill>
                <a:schemeClr val="accent1"/>
              </a:solidFill>
            </a:ln>
          </cx:spPr>
        </cx:plotSurface>
        <cx:series layoutId="regionMap" uniqueId="{00000000-347C-F147-AAE8-5C732399DA61}">
          <cx:tx>
            <cx:txData>
              <cx:f/>
              <cx:v>Amount at Risk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7H1pb9w4l+5fCfJ55OYmkhpMD9CUavMe24mT/iJU2452URK1//o5il1pWx37fee6Li4KuNUBGrZc
RyIf8pznLDz6r7v+P+/Sh231oc/S3PznXf/7x7Cui//87TdzFz5kW3OURXeVNvp7fXSns9/09+/R
3cNv99W2i/LgN4Iw++0u3Fb1Q//xv/8LpAUP+lTfbetI55+ah2q4ejBNWps3rv3y0oc73eT19PUA
JP3+8XMe1Q/3H67rbf1gPn54yOuoHm6G4uH3jy/+8uOH3+by/nHvDyk8Xt3cw3epc2QjagtGBfrx
oR8/pDoPni5bjnOEsKScOsz58WG7e59vM/j+v/1YPx5qe39fPRjz4en///j6i5H842pktPs4Ka6e
nv3z9Y/B/vZy0v/7v2a/gOHPfvMMl/lc/atL8OhZlHuRqavorsa/f9z8sZuQRzBeXP9fgsHIERKM
Axrs12BQAAshjtHTdb679yMYG91t/+PDG5C8fLhfQ/JLIS+++DjoA8TqbLGbr9ew+r+5ULx/dfOX
6/itXcvYEZUOEoThx10pX+5ajNkRtx0qJLJ3d31aIvfbUL9/jfxSynyRwIAPcJGc7xMnccQYp0hi
+oiTM8MJoSPGHUrIE45w/VGzP6J1rqs6/OBtE12/f2O/KWyG3TQJB4jd9T6xY0eMcsxsIR6xE//E
jlDEHMzZS9SudbM/1N4UNkNtGv4BouZe7ObvNbX872tGKo8cR9o2YuTRhOI5avaRzcTEaHY3fdxq
rk51tb1/v258VdAMrGnUBwjW+b+0of8+WAwf2URgKgR/BIu8BAvIp8Rg5QidaA98Znzn/OGvamuS
PajG1wTNMJsGf4iYrXdr/f0bjNEjLm2OnR0mM4dBAKaAJ3GQ84gZYPrCpD10H9bbrDBhVD28m4ic
vyltjh5MwwGid7XZzeAe0MNHnEji2PKJj8yI44QelhJxZj/+wUxLXoXgeX3YmHSb378bvDeFzbCb
JuEAsVvvETvsHIHnJwWioAaf++jYBptGxGTxHv1CsHnPt9x6222j6N1wvSJmBtQ04gME6vxsN2fv
32QUmCMBq4bZk1mbqUiM+BEASR3wC3Z3feL7oM7OHvro7v00ZNKMr4iaITYN/QARu9xn4AUdSYdz
Rz6aLIRmrFGII0mldIRAj2oR1ObzHXb5kOdmSNttHr2fjLwpbIbdNAkHiN3F1W7+3r/bgJA4VHLJ
KX+yaTPtSNCRbQOPBNq/u+vjbruoHgKdv1svviJmhtQ05ANE6o89IgV6EWiHRBQ/kYsZ+XAIeNwO
WDP7aR/OYld/VMk2N1vzbsReFTTDbBr8AWLm7dFFg/wAAs7BwQX75e4SNgSwJGcUPzHKGWbeQwrs
Yw9M/1VBM8ymwR8gZrf7tGYQdcQYkjrylcjVD43ImUQM/zB4YO2eW7PbLThneVDvQTe+IWqG2zQB
B4jbybfd3L3fklEx0XgiuU1+soznPF/aR0QKISimjzxlttdOAMTmLhnerR9fFTTDbBr8AWJ27e4R
M2AfCJKjBD9uJTTj+nJilgyIPn6K8M9CWNc/YsXuttJplL+fO/4LcTP8pok4QPwuTvaIH7jOkkKS
5inCOGf+DuxJcNUQ2mUBnN29nzhkkkJCLXs/chevCZphNg3+EDGD2NujjXm/nmSQNAOWiJ1n3tgL
PUmO4AoVlP1d0/Dcvl2E0fv9618KmWMFgz5ArLx96kfIxyDIt2AKSbLnIIFLjTCEiTkksn98Zkm0
XYnFB/39A6RUmuyvPbjW/5bQGYjTbBwgiKd7JJQUHTngQCMOYf/Hz0ssHQxGDktC5FN4ZIblqW4i
E233YN9elzRDbRr+AaJ2+2V/ahJSoZwR8ALwE52cJbCBmnCIUkIY8m/q8lxN3j6Y+sOXqAqifUS1
3pY2Q2+ahgNE7+x6j+iBESPgecud3w3E47n+lJANsDmBPPdTontGLM8iY6Z/RfH+yP9bsmbITVNw
gMh92ae2BMqIiXQof3K/Z2EuAfsSomA21G89KlO6WzWPlHJvW+5VQTPMpsEfIGZnm9287YFSQmhS
MOGAsnzEZIYZuN6CIgcA+7UbdxbdhVGwfX8w+VVBM8ymwR8gZn+c7g8zChqSg4UjZG7Y+JFkiFKC
ngzfzGf7I93+td2Dy/aanBlU05gPEKqz8/1BxfgRhUI5iO4/RfbxS2PmsCPsgJcNhZC7mz7qwrMo
zx/MPqofX5c0g2sa9wHC9ccegyIc4GAMvGfyN59/zj2wTY6IcORUHfkSL9gS+6jHekXMDKlpyAeI
1Pk+Ob5zRG3OmA3G6cdnZrcw5kATbQo88nHnwcZ7zvHPH9rt/fuDV6+ImeE1DfwA8br9tpuzPfAM
AuWpDoeKxqcTHKDvXuwsBOTRhs0H4chHQHf3ftSHt4OG4yfBuyP8r8mZITYN/QARW+6RZRB5ZDsA
yc/QB5CJ54hJSFpLCDWSKUg8fWZsfgllxdEetthrcmaITUM/QMTObnbrfA97DCKLlE7h4V+fosII
XGcGLhqfYpLPteGZzut9RKlekzPDahr0AWJ1s0diSG2g6sDS0ZN5QjN9KCfiSAnHEAv58ZnZrxso
vIIDhQ/vryR+XdIMtWn4B4iaC07+41p//w6DRDWxGdTL4aca7xmdh1wnhBYFlPbvzqft7v1oxdxt
Gn3X1T7Cim+ImuE2TcAB4vZln5qRwflSm8B/YKSeGzFBjjgn3OFQlPrjM6P1Xx6qDHTju2nHa3Jm
UE1jPkCo/vhzt8z3sMXYEZnOBUr8dO56FuOAegKADKr0IQj8K8X4RxWNeg8Jl9fkzBCbhn6AiJ15
e0QMMp1QvgN1crO9xSEbDSmYnyfoZwTxbFsNezlO8aqgGVbToA8Qq897VIRQ1UjJdOyMPJV9zGjH
j90lIKFJ+Cyt8rnehu9Wg78UMkNpGu4BonS237OckEOBYuCnMsU5OZzqhaEaTuDd6emZ1ZrSVrqp
9pP/+qWgGWbT4A8Qs9vN/rQgdCaAXiGOTflT/GKmDSFtKSicP4PmBI+EfqYNbyNzp3MTvT+T8rqk
GWrT8A8QNXeP+nA6iCtsbIPb/NPNmvFDQSWQETLbYq4G/+uuju6a95PDt2TNIJvGfoCQbfYYl4Ii
OAztP+Ag+xNB/OdGwwwOxdg/Cwh2m/zRB9ukUHCqo/cfpnhV0AyzafCHiNk+ox3O0ZQ/ZnJ3wGXm
hkG0A/YYJJkhdfnjM9ttm/x+L1VUr8mZI3aYkY7VPiMd4BgzUHyQvPylYpQUGrxA7yyo8H68PjNn
qwcN9VPvT7C8JmeG2DT0A9xjJ9c73bQHx1lCPJ4JMp3V/PGZxaYcCa2ToKUZND17DHXMDgWe7OeI
2StiZnhNAz9AvM6/7Q8v6HkGrjFhU7nGj89MJ8IBM6hyQ9Bx4snOzRyy6ZzzN10l73bKXhU0w2wa
/CFidrxHzIB7QNkosPwnrThznwU4AVC4CL0RH7eYw3b3fuQe01QfP1Tm4f1Hld4QNccNJuAAcbv5
upu7PehGDIc1qWRwGunXuhHCIrAPQXX+fQDteX7s5qHfw+nbX0uZoTUN+wDROnf3iBYcTaJwjOVn
bccsBCycIyyhtIPzpzYTc834o3nc3o6WPbaPe1XcDL9pIg4Qv7M9ckewbJADg76qoCl/fGa1OdBr
hyNovgrFObtF86gez7bGbO/CxjzU9fv9s7elzWCbxv//ArbX+27+bIPpbevt4kfX22c9Wt++umvu
OvvqW3nQR3W3uf/9I/CNCZif3XQnIS+qBaZGqTvgnn3hYWvq3z9aDthIaIQFPji4B+DHdXCaYvo1
1GMxyGdzSI46gkD25uOHfNqov3+ERhY29HaFOmQ4EgVeBwOraabjoXAJHU3V5OA2cgnkdvrWbmyX
Oh2gi8XPiXj6+UPeZJc6ymszCYbYQPH4d9OD2nA4jtrQ3BCqkBwEKQsKnKu4215BZRH8Of6PIavr
NheRPEZl1p9YsSm8LiHJVU/t5D7L23HT+TUTrkjtIFDJ4CfnlGbVtzjmplC+MNYlDgQKVFgM7SWj
tf8lGYnPTsqo7+/COoqDjS5p6bt+3lDLLfsxWDbYdxZ+n4ovg113n5qqoEZVQ5b6x2Es0/u2HezT
tmzkl7DXcaXGtJKZqiEoNXi57jO3pt0mdFi0ae02XcQhLRvFc8eOVJ5Rfi8xTx9yJDZBmo7nsdO3
t3VUsqvEt5rRa9rC/17TMbsIrPYsSZswV0Mexd9Gn5Zb5gftbR+UmUsGE363KC0C5QR2WaqqF5cF
b53M6wdqLmM76M9GUeFOORUbvovMsj7pPO5aJdosOG8t4m84KwRXgZE4Up2m7JSEcRK7KB6xo/qu
CbdjEeTrlPtmYbd++A0PNOhdKjO5MmAQhHIynl4POAwvGrvZ2LrRwTrq0mAVjI48tglrV0j3BfXG
LOPXWRiM0WrMw1SoYQhJrzQmzajCJMeBlzPt3A8Y9YU7yEogN0zb5oQ7Ve0SPymPGz+JF7HBfFRE
a+6mZe+cVGObKDseeK6QU8hzNmgnWvqtaK5akZXrYAj1OrGQ+Su0fFm7TpSl2mUjL67LtKuPsZCW
q0kPk+Okaa2sIk8vsPAFUjIY44uID7pxA1u0X9MGDYo3rJYnONQiVOE49L3yA+EcU8T92guyLl6k
Jq8u8rCp3KiPykFRXpQe6/pQKwT9mo/rOKOh4mEfXMq6+G5ASrNG9VhGniWp/t4FScoU7ca0UxEb
67u8otxa+75Mv/hNH29ampeL0Rliuily3m4LqFm+5F3VerrI7aVj0UqomJZ0ibVDA9VHuLsYaxPE
X0qU+H37abRkpNMFHq26XgncRlfdIMLLjDgDTu8BXdIxN8yqCOa2Z3lomVM0VoOOzhEXmX8emNLx
MqyJwqxuv3V2xzdywORzIOEevim9OB2vmemDRZdDmxW3xrjN136Oi6Wl/UzlsEPd1iHieKhZsjRZ
ksH2ppU76MotgqRTIseVYg7TC4OKzC1r7C/jMBmUJWqyiHqnUVVAMy9N8AmpHXymERaq1+wKWqGu
0w7Zp2PBfHdAFVr0KB/WvC9h3pu+LzLVssH3clnBCmR5ic4tWw/cM6ahLq18ZxnFY31MsipbRPEg
NrR3utOGjpHXlVmyKu2mqZXOxvKEm7I5JnGTXQ04Z7mKNLdXPM7rK8sxn8YQNmai4++jpJ+xBWog
lcm9rDTzYs5DpaPY3FgNSc/TrheuyctQRb2NryuWgNaSWZ4qxzBHIR73rp+QUMVdIN2WsFq1TXJJ
Wf7FYVXqBiNsbEvTdVwHV5zn4SLTOHb9Ms/dOEKtrXqTynU18sztEz7Ntu5uwOiHHmoHZyM0Gxck
5e1Kkphc8aIxHqinZDGwyt4Im2ULaORs9ypgpjmznQQtyj7uT4fMHm9pythXkdmxFyZVqvoiDI9F
U4sbIezmpOh42oOSMqBThAbdoSLbt+7Q2OsCdn4wXqAEdi8o/fhybEE3JkEh13pkbN1YTnzaYcvp
F4EJ+qVPxsatc5S5nbEDN4iS8jxr2mglqkyeJBXZIu4Mqgmidtn72ahsp6wXmWlRAtswDz91aZgs
/JHmqcuDFGab0Bg2qoT+8ndRNIARkbSNSgCh7t3Qt/LTyA7NRWxkd98i21q0eTKuspqgBZJF7sVM
NMvKyOxrqaW8DOugGNwA4P8aS3tJ7MY6t5M+v8BtE3lDGqAb4pD0uxlY/U3ggF2Lss8/lWUYLAZc
omVasOasHWu5iREziUoTK1nYkqSgdMOouY4Y1ccyNHRLDSxpSsvutCdlfiZxYda9ZeMLY+zE7euy
gV3VDdcBzrhUmYWj87p16lPk+O2psVN/jUI7dtvYJJ5mElRmGlxgx8TryLeiSytphFRJK4UbgM73
aFwTovw6HI9RWoTLLImz84ik/ucwH7tQZYVt/hwiEiVqtNrolLSJWRvil0aNuP8rq5vEHWkx3tCW
ErfwY1EpiPzXgRKl+VwGHTkdQ787HTvdBirlKIb1VoZXNm/wNQlashx1XHhDV9aDy4c6vC3KwlzS
kfeXodF+oEAxlWuw6P02TMr0hoZMGNVw3C+6jiYuImx0Y1iVx3ZVf6qbwcQXQUVxXX9FJXcSogbe
4QR9Hawgzde6F1V0y2zi57Vba96AJUqQjC9GHbZE5bTJFg3mpTfQts8WBerHe1m3fOEnQ+5WVQQq
OKQMt6qqOl8F4dCsOpTddH1frqKkCxawSP0NQJl6TZ6nn2gx1J6di+MmsAqv5FUEnguQvidG+oJe
3eliqKIgfHqbw88f//tGZ/Dvx3f+/uX0Moi/f4KDXY9vkXjzryDOO/kAZv5H09P8lAVc7+npJk76
4od/EOQdTZxR4MeXUrxy8d/jxwT4IzDU1/nx837jz3ny0xd3PJkf2VMNE1RYT6+hgFT+T64Mrzk4
QtBdCjiqDQcYnKn9744rT22pQOfAZTikYiMBvtWOK9sQUMSICviahKAixf8rrixecmUGTf+AwHMK
jXmwLRmmEOt6zpXBSygM7wXsI+gwF4yryARD7XuaIJUN5syqmbMoMgEUp5V2XCrwB8ZvFqh87JII
r01bWKc+PPtiKK1sGQyldoUezZkGAhhWtDmWZSc8ljr8BF5+YV2XuSkgVRpYJ3UksSoY8LtWFv3n
WDp1rhodWytclFplJi5dbswA2n/ES1KWUa6c1qeruHR8F567V6EdrJMoPOPA3o+Jw8AwlP6nbiwv
eqM96DSEFMsKvC5NQRU02UuA8vNjzHzPbxLHC4PyvrFx5zVxYdysrWK3ovlw5lcBMJAaeX2L7kKL
R6pMjbXw4xgvBzSOK1uXgcoDsrJyO791hjZemCKJvDFli7SvLqpkYAsrSOptRWq6TEUm3cIuqjXN
ONw/w0bBTDGvzqWzHkwTXYkg1ECN8LguEuK4nR581RVFuw7q+KIaHOSWJhkXWRlh1UDbCcVQQRch
sqkXRJatuqzpVatTc5xE4izEjq8wza4clHWL2hcrJ2vWBesS5acEPAMH+BKjAfKIj1ZWFGPXDocv
dt0ObltPgyiS2qsb6nvp0ARuZVt8kcrmr8w4Hu377LjIcXRSVNHgUtIv9CiWVpQWS3ssc69JuAXG
WghV2nzt+M5xPWjkyoQUKhp968tAI60oauyF0YVUFMjVkrDAUVabDRuiw/hGxMW4MVi2nhBduTQ9
BrtorMEzPWIeeEVc2TJY9Q1nqoQk8sLB8Z9FX4CPZsnNkPvg6ti09BpTdYqCYxHSBtyOEjh1mlqL
JC5vtOFfZD+exqQTKmg5W1p5hBYYjeFKFNl2tOM/47Jmq1j7ldvFXb5ATmwdl8R5YKMVe2AYbQ/W
xE1qesU7WBKyCj45OtbLJkgGlwR+6iZB7bYSjy4zKVK4tjclifGfAxuxm1TmpLeSv8aB9Ys+lMUi
Bt64tvMgc8cxl8pKYS1EeVx6IijYOhxZs2Dh0Lsohd8luPpqmTrzEtH7Hs9N6xo9lCssAUENBXtL
HmfV0qfx54rw4CxHYbak8q/AMei4D0Tp2gW3blKGM+M2PGSeSKPoKmsT6eaGIxUn4bAqIqe6QXkv
PUjtJlejkAwY73gGr5BJlzJOugXxQ74ckybzIGYuFnmPA1UTC11GvBoXaEyyBTYydBs7IV5Y01hp
EfMNJpXvRoFs14QEm9puyYmxUONZJCw+NzaFWZQ+9QiLBbAup/PsLisVsnXkGjtGnwefIVVbmMPO
LcdlHRbCdZoRq2pM8uvEosOlXzToGNemsxX0Rw0jt7OScMEL2Xl9nXG3SfNkQQeTLOFRm1Nh5RT+
0DqFyoJ0pRN+brHkr6jloRvnMt20pQhUI1vLEyPMZzEaey3CNFYRRd97P5Re32n7uGhHomJeXyMZ
bZq85cdyFJECRnzF/bhcdIjqRej0pRq7lHuM9bUipQNFKOlVNPSXPm4u0yavFYojvBoi6yFj47BM
q/GkqsVp1MHfG5GvOj4MCryHfCkCq3KzCuIcg98aFUK1C7hY0bbUQacCOV4bcFXXok2AIyXCUp1s
ahd6+A4LEmniVXkJSyrg1dlAxLLJyNYpaaFkFFO3zYx97ZMwcDPhLJrBAn8Zx6uelQ+tAVdTjIN/
blcxXaEU42PwNpNlnJJ2kQyFUUOdQOzFyeQ6pOhCp+RPzs1pHLB4Y+z+i+yMUCLitZsOlG8aFOU3
jtPepn7VeUUhHnjYdW7rR7XbBekNwc2JYHV1XkhyHOkqU7bW6VkKwYgcVZdp6OeeT0MJ/kv5vaoa
5EUO85U9NnrFGFBp3x7iRdnV6emQdtWK9ZVUNvXB8YtzZWj4pzNI52Zgw1qnOT4ZedwsWzKUy1qm
rddLuGM+jjdly6JLk/DTGIMR6i2/V0nnwH7GQbqsGttWKLOviyQLPV6X0clQmk1QlYVqW2qpoG6I
SkMwL2FW8m9p0n/t/KZZi0Hc64a0KgzScNmQulv1eW8tg9y3XZG1zkWdtpcogAhCydj04N1ZURrf
rW1SuJl/peNRLzoeLfsy6hQotHSDQ+u2cYpYlVZ/T6OCgC5smo1sxwp0TVQtBt/na9C/0XHYsm4V
WKDlOmnZbjNFp2RK6Coaqb0MREeXJC2o27MCrwIR33ZtZG8gJHAz1ObEJGWlCiv4Tq1CHKd56i8t
kY6KFRwvbS3kArMMHcsCEaUZWPIRtOqy4pX2OjmAZ/VXyk1ef2ZR7YMDE0irdPJ131kRKya3ROru
S+23mYCtWHITp6qE1ZfJC9+unK5QIiTJtMl0nNmGrkuioxa7ouDE/0wbiCbwBEJH4HIFC9to0N6J
KseiA78jJ759RVkmePVNt30+5scVbY1w3Bh8M2FD0CGNrDBVeVGNVQXdpv8/vf757rYX8ffnLBkq
8abD8K/T66ezFL/4zhOzhvwCg9gudNiC8nM+JWt/MmsBZStTdzTBGeYIQx+Zv5m1DX25bDh4MJ3e
eYpd75j11JIGCpgkgw69j/2Udx7ECzcJ3oD3qyj0yxj0VAMK6WGo34UDXtMLz8CXeM6rJbjuY6Sl
vZbS1CoLQ6nioKTq2Zz84i7gBxTPIt1QAQedx+ANPdBdAPwHeBPTy7v4TVsSqgN/3cR5jlWLHKlk
7+s/87rtLzMu6CYdy6Ty9FgXkPn/iccv7j3h9Y+bg2sDXbFg2qDafDbEkKdpTxNgsAFzdLIUlem8
tsdwXxslVzEmehs4WeEok0fUM+MQPfRWnecLXnHqpRUe1dDE0apuZerS0oJQbaLDCyPj3HLjFLRe
PVTFwgTBeNYY4V9B0Ljz/g8GAX4Z9GV2wEkjfDaDqGIFzerRWZdjTxY90+MyszK2iUQ3fC4pal0f
J4IurGxowWT2xbfOaaRn62CA54uc/pLnpL/URkqFWghTO044LluZpJveaZOlbDt8k0VNvRzysY6V
leXR6u0xQLrlHzhAD2NoUfYje0LQy0VgGG2aQXTOOqJF51VohFhaWw0rARHEt+8EHuk/7zTVFk01
frYjZ5Nlt9iAOwV3asF3WA9g21Y1l+VxVdPyE7KBtr59v2kFzZc39BGCM5SwxKcDQy9HRrDJ88xK
4X5BVH0CjQJhoSZwoBTzrYX8i/lj8J7LqaMwVAHD0fWXd3EqUBdpZ0GYk3TRSsKsFdSJ1omRN2/f
iPxiu9oEihMEbDzoyjlXCnEAB2k6WINrMuJ0MwpDgAfCmhkGAG7IKERBcciN0rpOrobWlqdFyhOP
xdi/Cpt8PMlsu/xUDdyKFG9towoMQVrVYjqug7Twj4G2DKsI1ubnNhA5OGcjYsA44m6EqHgANwEP
iSyg110EUTZubjs+Ruu3BwnlZnPUoFjwR4NmIiQ0rbchzfhc9fnEh/TTWPXrLqZYZYHuNiLwzcYq
q2SpE0MUh3xFn1aWZydppWDxxus0m7gWLuplUlTA8JKoi1SdU4hp5egWkyQ6t52B/Sm6LLu1S76A
FBW5xk5WpqrqUuxW3AeGiBJnGY7wisu6DfvPYZATD94GOqySYInjNvgT1Fmy5rVtXwQNsddtpPUJ
WJdwnRU+WdCAR2srdwZX21G2CKFCeWWoljeVb8eb2IozL8dlWKsy8O9CMDxuZpJgw4qxvShS3JWq
HQU7zWSZrlqf24sCQu4upMsalzdcp5DQCCCtVOnkS21yyERBoD7PBuvCdorhfhgGA5QrrBcQOaAr
22exAT8iJO6YFNyzxMg+2cCjbyDKnt1CxCD5XkBGCcgncobBdaowh6CBRlTpPOy/CpknnshItYZS
wXQTDxB3H0uHX/A0kV4to9xRNIu6i6bOy7+A5dhbVJqF1TsxxLCTByux5JmVp5bHgihYWKI6hmQc
PDXH5QKCFJu+tfJz7Re+In3e1SqoKgvyLPkKFfHpNJ+eTuPCha45ljK6Mwpn9Jsd8k6xPkSbIMmy
U+YXw2crTWrICWVoPMeN5adqaEOyQGBf3Djr6IpoR26akdFt5XPIUcI85ZsaNY5bCkNvErbMwwJW
RJsmqikp3eqy0sskJJZHix54rCZ59TmHQIurk74DaPpYmR5yjt3QLMOQfiJ+1ixAt7WbOtWDGqy+
lqoKyT2tAPOK4+LTUKVnkW+HrtW1idcGaeNBZrFSIQSp3Qqh44LEgUIBYwqSs8F1HgdnfsD/DPsB
reGdvOjKx+OwiCt+C17RlmR57nWViV0r5s6X2vblklYVPhV90x3nduIo3Y69myFIxTVxaam6Rb4S
jhWCimo6F2d57LJYQ4JbBs4qMX3uDpb0v1lFOMDD9P4SODHk4xKqtapQCY4hGCPhgRkCfzeQHPIQ
XRR5TcDJqjLGOrFHrU9rC2I1VW8P27gz6BO0voSIfj5ANkEhEhcQyUaAEDa4PBkGzDZh3qdrTCO0
hmQQXnELYj0JRFoIRAQWpIPcUyhCcHXr0Hd7FOd3VcuCrzE4ufdcmOErbavuOJOy3SSQaFAtBDpO
K2QVq7JOfNf2UbtpMOwva0gK1aTDEFBwjIXBmzxyxFh6uOTZIkNBBp7Y2H9mLcqXFJFwgyAjtGCp
Zm48NL5yaBOtIPYOyZleG/AYsxr8R/gxzhvwUiNI9B07BUo8rpthZXFpwMdAydKP2+F7W1edPkdD
kHp+AaRgbAekKk0SryCZ9KIALAcefakIaooFajuygBFXx4JD2rGrhsQjIRpOxhqZ29Hp2AWBjXo+
RKhsvMSvIamHCt0+4BgcXydF43qI4+ouFH2w5DoSX8Kozk9zW+AbCwG/SHURXiRJB+ykBcqndYcU
xEhieLq0h+Rhg9H/sHdmy3Hj2tJ+lf8FeAIgwOmWQ42qsiTLsuwbhlq2QIIEZ4AEn/5Putvn2HKH
Hft+9013tF0qFYsE1sr8cgHFDPGr+1rw/klKVqUVWee0dFAXOl5n93BA2XHmfbXrRKQf22msj33p
jV9WpyBoiDnWngEfsu9Qfvl1m5/WiOP3sqy7smLNT8E4YOeaEWBLoH1XqWybLosGg08OTfbdJj2m
nmZu1k+rm3Goy+/WoMvHuOIrXuNG9fhR+P7WajL8JpWOyN6YCR/J8TcFiQWrSKZKehmLCu8dxcKQ
rMhW7bvJXQ9E+nUSBTo/oVbxYA35ERTqejgZsJvQPgv7ihrYPJZmwLreuv1J4oSbOkZt4+4pUf0+
bxzvPA2tc2/xBkXqoAON1zzo8Wvbwvs8o7UUce4X0z0JwEvkldD3A3H7dAgK+kRCD10vpJDA9O1+
lO46Q4kk7OwtZD/1WBTooNnVsJ7vuqJfjqpyYV7Xsti1LC+yttEPNHfcZJ6mMvaq2cuCktwOeROZ
uCqE2Q+dscUelz+oXgYe9sXNMKre4G72pnhaGm3jSQ0kHRiUtJsoV16HldWOkKZDlxfXZXYXtR6/
be//9YP+lT/9P14qwqkEPxRCv+BS/zZ7+cfm9e/Xf+9dfYyNjjAmc4sw/ZM7+4egwuBoCngEw78Z
Tvyh/AdX6Nvhn8DEMXsTpT44KZTn//Su+CO0YWBbMbXMw4mS+KP/oHelbzs7zL3wCA49AWiDqCPb
PvmPFRyYhIpCZiaHamkTJV5r4bxbbH6UYZg2c3NQJTmNJM+iXD/RygE1Mv6hL4velsrbr8AwkRkd
Po4fQG/z86/Qej5k2hBdRotF6JrzJxt1N6OpsgYu0+YkEHjVaQTOKOZ1fuk6gSfR5VCv3E/coGQq
0gZ61IWs8CLacDdFVdwF9NoXfh5zz8S0k6ljxLbwvvAFdEELyqMpYqf6LFGXb/9psZfz0n4Y13Zf
qjGGB2S96MDbCQiAgP7XE9PYeCVTq2NnGBlLSaUTy5pHG1bxgHvisGw2OrZw7rKz0HAawIjc8Qmc
WViHcRk6F8+T8EAmNmZjdcMdfVcXjc6WRsSuE013fvSJMgddcPC8YpPOlKTQqFnC/SBRPRiPosh0
W6PzVsmgAbk5+YPs5yGrRpWZqfusI5fsy1rfijE4S9r8tQrQELJKen+u9/6KXwNLEFbGpnlRCyf7
SoYogcj80nCRCl+PN82moNekSzp/xJutu7Ji74SS4r9m898ryB8WF3jNm3Tzv03rL6vLT+Olf1xW
/nnl93UlgITlY3INo3h2oTzhh/6zrmCQ13bwSsgx6WtbVbao63e3GZOyIaKhzw62efV+gOXg+7qC
1QhLytaxwoyGrxj9J+sKTlJ92xqC86QQ2ECOAkBldBMYfiAzheVzjcK4OI4q0Oc2bDwGAbYbz8wq
ntZ8QmFWaUbvR+rEVoka7NtSpjWh86EqBkdmea6D3TBFw3vMdHdQ1NXRYxlO9b6IHBGzUkftuV28
fqd9NYFoqQrvOOYgGnda6nxNPIfPfowzlmsv5pXnpyZCceZ1ajn0OT81YaUBX1gxxEKF4gNtRlip
xoNVFfnyKZrnRzrWOfzXfLQf1snA2JtruyuNQ9KJS30n5paecPhQWcQLnhu4r06NetHJ+3vP9uUN
XkI7qDSB2Xetc1fmnRzTYpHzYWB9e1ln2wC6YuQjxGZzlozYB/RIbAfxurh1o9Hv42jdPjm8qzFz
lV+mJZX1DqMGTBMXs1XvReHBLWUAIuWIPw5IT88RLT+0VetBWp/MJeQWylQ9JU5P2lSYjZ4ZSz69
rzoZ3OYtZXc5ZwSgpT9wumutxieuQ2dNI51HcRgYnrmdobFv+zrF71ylbJx4AhRTYdmC9Zsv7KOu
qu5Ay+Im4BZFly7ewYsyU+pawus0QJOXcG/mcVOLlaPxGEwOrdCfYNWvU5yr6RDNmycwohiOu3Kl
mWNcGNfSMhUPY+Ph+/D0zRq6h0mST6V0PYCwLbynfHrMG0tO0Tx8sDDjk8iS5vMwS3ui8AmBNoQF
xAebCTiyaS2FuB95w5rUBDCUQqn6a93AnsFVVkUQd6r1IRiM/m3FnDx1isB8yofcvQPuIDNP+CDa
1u7r5DIBR86u4Hn6UtyusxxPSwSBQmLBZiFdbiDn5HFN/Rz4jpPfUTY9ibFtEm8KqmPhD7k4Azyo
zd0SibZ/BogwfiZzr19LaeidD17qvMnI7yufY/vyGn3jjWPvJ5NRuGRzp4aLdsnneeH66nSugw6M
fOWNgm4yt2AcvKY/Gsl1XMOzfGfrgI6pGmz4KRSFflgd3SbS5HXm9xBxklVprQ6Ea0/ucr8F/lY3
8/wZOG5LUmp1CXXW6eF+V3Kg8YpvOfOCCfQjvGhyZ9oV/jcpyE3XRwGcI2rzO9O5t7NHP61j9IkM
oDFx/FAGald1h8gvuyjh6BaHvRlxxxDh+h/RGD+IvPtKXJ3bWAZ1l6EYJgevNiZ8V9SAPpooLBNZ
+O5BYM25x08AH8bG4jrCfINENR8X2mD/bn1eLIkW4+xexmhcxT7Ml0GgAek+qdLpUN5PNsCvNO6k
o/Nboxt0zn3VXaxhJh2Nv+w0ifaWs+JYVavp79zVDdVB51RFSaitPFeMyCorR/DA8UJa7zLCYMwC
1hbHQuU067tpBnTmOCnt/PAjH5T14mk9g+x2AHuMxb4K663tcJ2dl1sTR8TOu4bLMhZLXT0tHrOp
wgZ/Dstgx5tJxV1uqY7DkVdxNUjvDgf6VFnnVwZQQqGS0EAFkL1CB1SxNW217vaGj2ViqBKX2Xgz
roDcbM2aeEdvCofLQibncRZpoeuzRhudqnrs6rgUbZgtDlM72Z19uzy5+eKn7TC6x2XN18zD3zrX
HmkvtGY9mhruLEPct71L0Al6LDhWvgmxUg39HYsG9gCVuUi2Qi8tPFrMie1Wu8+dvIWTX1fVp1WC
1+VLMJ89TqGdD+YztCsZF0YXS+wF0bBzEa2Ml9Vc61XYV+iO8E9NEOyABvEa3nKn90s+vvAc0J0f
FKgCC7+hG9+kj7myddKC7rhBefQZG4u/gzdsDs3aA76r89ZZ46mbZ8h8qpxe3Aa7TYY56+MNV6B9
jaDvRQA1lzmKnEs0icnQhHJfB44C5D0cxi4E8oENNmuC1ia0ccA6DA05EosGOI+q4ujPQD/QsZKz
P6GHx44d7kaYpDcaAYvzghRDtrj1fe6vNglQA+7nLhrDOB/KV11a3cYW6jkwSqy9MzV1ih6hP/YR
BcQqRdWnZGG3A20Tp11cm3h4RC9FJ8prSZYwqerOSewKEsoDywWmus93s+7Pi1I9uI1l/OK1w5II
1c2ZrOvuZmKoZFfNi+OwRn8B2FJH4Q1f+kjoTFfzX0oBUCHU0kxrbDd0KI7hMIqDnmuWqjy8GgjZ
UD7ZlSlgSKE23t3MS7UbnPEqrLzXZHTu5kLeLriup3zxXDyN9VUEat0tfhVhayyFB63DjD5go3FI
eRWhBfAMgIYBze8HXgGKmDWu632vS+GfVjlZfbEjEW3mYuccYrdcQDdMhFlU/xyoFcn8JlxJVuRR
t75HcxM5T/PoLjYtgyBcU6gibkJM1QRrvFS0Bl4TAE23h84r33vB4Mt0NStKmREI/tWAy8Ft5VEW
u1JK4Pt0UF9tSxdwARpsmtu6TpF2cgAC3enlo2rJcgomSc8adNy+t84MZkgFi59QW5kTZJwZS3/d
4BqYYjpYCKUZVVgxw8rxn60MZYp6Tp5g/2kWY4qXug9XXZ4UUWOKrEyG07/mnXVD8aV3tbMfp9m7
HW3Y7+awp5AdJ+APqsHyWvUMF6iy1bIriBCP4N27NJBQyoauGlF0KMYP5bByk5LV01CbNZIi2N0g
frRw0s5Dp1WRTe7QgXFzrYY4hZ2L7LwRe1sc2iKUyRjoMl6rujjZkTYiXcPR6CMB63oGZ+3AJ+h9
FH450VVMkPF5R4GfTUm7ZR12lddHWRtG65AC6fLTSvTkE3iggqaLJPIuLIb+XkbQLtEl2TJpaeTt
xzJfdgPiR4eVFouJ+wpkX0zsEIxxMNjpY42EW5qPEb1RMlTodfDlP62sBEI1ensEgDTg7hX4bxw2
M8PryxysFQOeV0IOjh1QkxlbHIUciQ8VGBVQXycKZ9UfecnJxzwvZCI6kheJ0CyE5GZ5Y3C7TCQp
B7DEWLzXjOEinduI/sWDCrRC4BEF2EbnPaAdYsHCD4CX5klLGwMycZNp8tcOfWCh3jU9wjiJXxU6
m7zi0nlzt4tmNd3MOvCOPtAymzQs9O7GGj1iNnpNveeNP2RgJtkp1GNv0rrh9suSh6BgUHN/cK0f
nHNeNH5SWhPcjASlWZoLKqKLQu+OKFHwNCk2fkR+Chy18PiudiDZuYtHjoNr1yEZkdf4xDpu5mQM
gT+WOK8He4kbXWqI+F9dJ4fCB6TxGetpeSpnhwIj5f6TAQZugcepABhJXwKsmgiYKgG5CzbqxO41
bVnm+XMTtzaosoqX0T5aoOF7izHnNTDzFTrYfD8GUOhlMy+JBHwWt1VXPNt+BnqFKBDf0bKd/Lij
3ZD1rpkS1S5lzPKpzxwfTJtrSPDFhb17043leg1BjLzvZhp4CdZz+dpOdHyIGlI/CUpqAdVQRqfW
ivxUBjU5kS7vdwHu1zPphX/H1mlOZqi8R3cleIPVc2Ia8C6zTUBR+xM/87wcDkUwFRWWZtXsZr/z
9rJ2muNCUIt3UT0/tEPNdg4ZsqnrETMSA7IdUpmrDAL3jEXCpHgA8bAExkXBgpWPVWDCC6fvskpJ
H8EMqtqkMrZHEmXEsz5wee5K1Ci1Isg9RVP9UlS+tx6Cupizstc+xO92/uIrEIpJV0fLxbjuwnbz
wNvdf8XFb5nOP/T/LiPRb8OY2xyAw7PqcHLt8PXH/v+fV37v/7czryiSgP80+N81RRdT16EKhphD
zN6Q5t7/4M7aTqwGDb0N2gdF80/vj4AvsBr8dQYJH/YORn//B5riL1Y+9hgomlA8ceDyFvT8ufPn
jo/8YRish6qBh4YABlxDXzz+IIrc/k0G/Bj9/EVe2N4EegXgG3xOP3rDC0ytcTpIpOtBV24fL8G4
pmjVgqSr+JT9/q1+5uYBQOCtcEwjADBOAix3b96qVfnSSwHffTHlFJd1WZ0xFh/UdYucWC3K6aDo
4OyX1eNQG2z7h7f/5XJuw8o2eh+zHPGlbTnbH4UUt15Db/bd/oDF7cFVwcew/JMEu/2In+CL7S08
hOlwAqwfuv4bERhmrtUkp/3Bo/MD2o5HbI9tol3k5cja4y79XznrX765b6nwt2/HoYJh8DLOU0Rw
Fzfij5+ICSz8SzSOBz6z/gRzmCInEDnqVHm5OtWGf+A5YnTAGPqJAH4E6QcsH3VArLBRDKiA8jIO
XIG4GPK21RFaa6QSqAFRnyx1Ldp4HCPUOW5PuxlAVoSuPHKPLmKVf7kS6KMZp9eGh0Arhom4j3aM
usSxEbDmClzwteg12He4qanGZvxo5dY2+GKG6OQGQ5HyPlIPvleLj6UNWlRKAzQU0XrvvKmp7n3P
kYgPAiDVYhJXbUBrCRUhaBGitPAIBCsAY+uxCsVFS8fsmFKvPKjv25K/+Gt4B6MK8TUeAr0ny2dh
OAK623ruePiZisk1rbq131e9V6ILoak3yvnrUET9MZDFuw7ICGDYdsi4i11ybmf/ugDeSiLHz0+u
YI+BQ/OThM2IoEEATt+Yr4iPRg/QsBBBo1Je16gXDxOo0kQjSEEiI9IA6BkCv7k5rGWdZ5IsxaUZ
4egVOeq30KJvE6heYYA6yF+J2YroOIVSL7uyDaKHPjDo/EIPZiCa2ZuOSEnOTUdzumuWYfA/8CZw
PhaVQTC2pfg54bK4Dy2tzLkeSqRfUTHF5TCgB3Z7rzjnqh8uLbrYzG3gayqAxzH6Xnnbt2i/APDT
DDuiuzNlTR55CwrCGpDPTlG6+pOGF0tFQiy9cdZAPJRFv2ZN2VL04tAmC1CnVTyXNALzCrsNJd1w
163NcAvu+iaPLPvUr+H0wDWrDr1T0AtdmH9QqBRAmgLKBWWx7JHk/oSwo4dKu9RiJwO2HNCKR3fE
h3/hsG64rMJpb+Fzp+6o7UUg7dgnUVeTHdSr/hNyokgblj78SPQT5X6IuD6X+RbsWAv/tgzGXZ6z
ViFzF8AnoOKz1Ggz8bKPixEn1Fk9GKD5rrPVB0lhFToGgRuOUPx5GsHIlgUwAaPFfOfkM927m69P
SVej6Zj40etGuP7fAAAivPYdtAtgARoyDbIKuSB3LO/t87gRBIggNjdGSOR8Nr4AUVjA0DUUq1Sq
ptpVeR+k/TcoQXwDFCLHYQko9XyXb/zCspEMYTU1Sb7RDSLP5/OCbgrhIrAP/kZBQGLK8ewrJ3Y5
Uq8cIWfoW+AmGDDB0+oW9GaJWAj/HnxF27YyURXAIIgAzyxnH6ONxhATuIxyIzRcwz4H+F4dqC/v
q5ZwFGe40qxcTxNHlNtsrMfKnSnNN/6jDymUi1VenLHv7iTUsrTp1y/AKtCdFwSB4xCZ+2PuoDOm
DrlbAJpMG3ECYQn5h6ib92u1JcShS3wYqBMoLE+zk3YbuaLdlj2PG83SblzLuOxgwrMHz4M81tBq
aI5NYMZb7XTsGet2eCw3SobQok7QIIIpKzQQDQ9Y0jX/htawjbJpkQu5wYK0HilyyXHnep+GjcqB
abAlAvI2AUGGopEUNyJs9sVG8yhDDMAeoSCHKNpcRxUea+N+ANpOYjenTSLC4cSH0ElXSNxpvjFD
AvBQvlFEK3CiQLv8WRPe/SU1AyXFRxXF3kYgYUnw35UblRT5oOH8jVRiYYlc6bzOT+2CPgvVEN4Z
qRvgTbWPByh2mkW+IoVTfwRtRR7yjYliq/RT+AA0oaDIIPN5Ndujep3Q1uNupou/fFEbZVVtvNUI
8KoaAvnoFV5zsBES7Uk/QOykfIFOxrF61Bu/pTeSq2YloC4EUM07NYbOAYPX/KTvg5eAMgFYJcL3
3m9sWCjDYMsB0X2zkWODy6HXGFsegOAAuNsIM72xZu2ivYO38Wd+SatD4QjxOfQytTFqNUYboGYH
twbEUiH4EoU7XCSEUkOBgBahkOCcqXLfc+Bv/sbBTbbinxfkU65AatePEFbS9hs4JzeGTn+j6Tau
DqqmPPCNtat93GTYPF9hHiCYuxF5/sbmYX+cIQyD14v6pQ3880SVdevUrUf9t7X7X4LgT0X+dpzf
D1XRLybffdF++fr/juM2Lv2nGv/vF36v8SkmoxIXeVIcaIBzODdA4Hudvx1UDKwUNDbOOghQHX93
+Nz/wSu2gan/1xt8r/Lx43AcE1QQhnLvP6nwMeH4l4oR/QW4AfwO+L3Y5iP+WML1g9CDiqL24ARj
E0uM0HiPhPRUZiKMYAq43tOsjLnUTlfGUndPtfCcI5mDq9vqukrUWgCnGrm6i4xqEIEij8C/RBl3
dS93LZ/DdNUOOw40qBNunWAn7TJD+A6uXY2RE+5Cb+UyD88RUxd42xfmzPt86vJ0Grwo0fMm7Bgd
xmZTT4kur4g04XEOOuROm7aPiRNC4PNcDNAgK5QYcuvTEYmwYX7GcgTBuUJghls4+1P5OtaySuHs
2yxowys28v1cQgEGkPAaVc0Fauw99EsIjKXecbe6aLvewrk6I8ADnVg68VKUz7ab2rTt1xdvqlDj
0hc8ek+9HXdtDdppUAX7mPeb4hb68UxGKF/wMuPGCa90Yk+VqZ8DgnAsgdRBhuqyXYFJAU/Hs/4q
O2D0I/KjO1bbNmUKRYLe0kNmNg+CzfdhA4URhb84DnX0MudVtKcFPwhhzxW2oOOKpD1oxxEXhhA4
deXJLbQLS3V58At7P3f8qWDVCbbE89DL53b1rkHBBj/2+ZhxfCBIuxBJ7C2v8V1ZNu36qOtjZOpO
CDKicJwK5KlcISHG4EK5BRRCMFdTDGChyMoqmhLtmPY8dSV2ame7loV61tTOkO7WKp4g3QKuHbMO
kEbm9OstgMXbyZ33sAHONASO7hhy7oLWSUxVvLIaf82j5aWqljOsC2QzWiRpZYlP2HL7uOYTtrnJ
r1EpMyeFBIUUVQlxtQD4djN4EuLO+jjwPkfweHmACJYutpmTphhQFbSYbWvmKIN0+BK269m4YjOl
hvJa9cFTuZC/wp69i1BBJpgYADV2OkBBHQ79Yh7W3juUZYfI7cAOAiGn2CHIRFQTNl+t17PfWih/
M75P+FvsFAW4E5Z1AofsKhZ3I3lsBH2JGCBctQxNPIkaE2rMQz/oB77Ur4pImxC/nSAOLQ8spwXq
z6nb1W4bZavvFAmlZZl8u+608a9Acp5ARsodjui4dh4PdtP2OnzOuIAyH8/MfyohnB78BbejQ5cr
rMbus8ydKEG7YdPByc0dwwyctF4Epqn03EtsNJlDH1hz6lvPgADwww0hxrZc2DqDtgYZ0+nsjmB+
z0kV/Zi4Ts1eILJ9tmbwb2hYdVu70ZZITkMKBb8D+pulQbXOz3nQolwRHYLpe8n75rFq8ke1OL5O
Vz5GZazcMlmK/Mqb6vPAkOWolhqZW99ivkSZdkiaZD2wZArY1/eR6IQveApbBDb8AF6wU9w2LYbK
zA5/bB20CSNSfpnR3vPS2OGlaVyNp1IWWQ17Pgws7Oo18neqVBpud5vfwmZGHdXg9l+l+9JCJYjH
XiGvbkjiLy5E+KDF92bxCOgVt2GfU8TPXR6+g/wAC8vFTWer4Clw/Kt2+/mYm+HVmYcz9ytMhvxd
K/5r37/1/KGPwcBgBoK3jEYpfa7lXLUHbhzMP9H9hBp8uZZef1lz6se/fzdsSm/a/i09BHEJOgrm
fb9VGSI+68a3QXPA3KoWdH11cuttzhHDgv77d9oUpp/1jG0uWBjgzXByLsbn4s9/YE/mIFiYzLv2
4AK/jraWaVuOJZ0RkwDb1R7xX2T3+/f8RSXa1DNkzYDVwObDv39+T8GaqAjHHHUmZHkkD81Du+DB
duCizI5Xb9X8CfNyzsOI1e33b/1tytkvnxcH6BDANh6U5DeKW1eJeZU2bA4jpAjQuSq8taBZt+Xi
LFtZHUi0vMzjYnbgiM1JwnJPhwgJ6KGwLxslJxA40QItOgKghyhSCGXpIXPD+Tz7WL5DH7HTCvla
MBAXeAk75Zn7RYlH4hUq9Rd+1WHtJEvbRnvPa7tPwkNggodYHn7/Sf/lFkIIDlM0cIohQbbvzRfr
1mWkWqB/h8Idd7wltyRab9U69H+4otsxUr/cQRiRsZVWiA56b+NP0UxD4HzbvRrV/Dguy62lJc9I
jUW48SO4cGF1mTA656429jaYiLpDlrfE2DDx2husy1upIuGuxdRdzsIZAaXP+gFT9a5sMPsixHLv
daVKhCj8fb+4y5PwXLtXwu2ypbQlzPhhvG+q5XEZsO1rt+QnjNFQ2exP7Zk35WteYjJCU9X4Fpew
3S+OfM3b9TEUeodRXti8O3YorHcoiqaEsbvmaG6WMzLhdYKJareBRUTRRTpph6bw8wBCJgkoaqzf
f2H/ssIgnrmJlyQMMPzkzRe2Bk7bc4c1h3Wm38qJBSub17l+7Mzs8Pv3QoX9y3fmEexTyOpixOA2
0+XHpx4+FMwYbpuDV5l7SC0n1f5pwfz2JL150gIfxxUAyUWAC+PUf34PKEXVVBOC8T+R6XZjuYBr
yteXbaVHeNrupyE/VS4/RI57nfOoyIKmPjlL/hH+2F+hD2zLxfARAKGSHYzEJl5EWJ06qy6UitfV
n1kW5GV1qBlm2EnkvmNN1vGmLv0Mo1M+hPABYx/R5iO3JRplD3UL8llQ8jDvYucOiGAw5DH2eukw
U8AtX70Gt2BfVhezVJBXhU1CX6JAhZWLKWJd0jQYlWDIdN82bpFh4AtOKv7dDrMdo/z2S8F3gZMC
YHsQuA7uzxcMxB+0EKuaA8XUu9gUqkxKjHqCb1rhMxe4AiXKLcweCa/K87skHweCgVDq3SRxL+dV
A3+u0bs5h+08+bRNdUGeZol5gSGBR18Z/7rRHInOvWsRuTL1BqxEXTtjKIy0j8SdX9aRxGVQvl8Y
qsOoxwcenGVfFeTRohADU1N0e1bPeyg19wLjpBCGwP3JOyx8o28gvjoAsFReR3vXWx+jbjB/J8Mx
6ejfA8T/8pBgz9j+ocj2ut8Y7R+3K9Fj6M6M8Xdz2KQocZYYCNc+4kTHeSf+8I3ANfj1K9ksHixr
lLrgbt48kz1nlrlcNwhBjg0EC8zPCXN5yrFTgSYpk7XFLblaNEgGTik8R1SAor4AZ1sxtAdAZNtA
Ly8xiiOL/BU4dY3Yc2PDv5CRuHFAatURpowUEar9pWkZglnji5Lr/VLbswq2zRi3mWDVcz5vVers
JnIll15DL1xaN0G5CphZguPGV/qtvVz5wkBm4C/CFz/5zoRXdLPZdTmG7NUI3xyXcLn91gTlzYIx
A1PVnho9P5QTGskQYQ7oU2j1vHV+GCZBQHtHwEnNg1vR294pT4yhWqOBTsumshh+gskkCv8nN9sN
2Wmzo3wYs+0xGhfv2gbzgy+2BsKrHDxPIGvqHtUSyeVl6SF3BR3+9uB4T7308IhNeX+DwXgvcP/T
WeMCY8rApWToWaIFpTiv+ZMszP3MuJ+wFknFRp2g1Z5WhXjPIPAAg9k+oSneqxw7Syk2dhJPhz9P
l5p6n4txbk4V9a5mNCkCIjbZGqNlRWZnhsZ4BqR7rSf+5GKGzx/2Y/9fHm/UOvCOMNced9TbVDpm
ecgeyQJ1GAP7AhTwfiTY9wzarBywe7rVX99a7RYDGAHmo9L79sw3BULS84gYjcTLesVS6L8yi8An
hWZgQVpPok9gczZZtGh7qCmIFFNWwDQFLzOIe+KlR1r40g0Qm1eBfXFaiwjTXGpU+QG7ug7WGOBA
j4ah3CID6xKflDpZxISZeSEqa4HGEPthwTBkBpzlDPNEP0wGKygGOd0PIJ4wYqa+GK3vuYc4WVv7
S1YOMIX6GencYn6QOeJgioIcw2zIF39cu93QTfcBugOMqvKvBpsImkz9wDCCbqvmp+D7/vpfhe1P
ChuaX2wl/7sV/aKwbTb65etSvrQ/6Wt/v+wffQ2z1TB8jfsehpMTKHY/6Gvb0cpbKgWNiutF3+YU
f1fYcGYszsZm6Jvgf2Lqww/TjRnFaXwRxeGjGImMhRzlw3/go3tvChoM28bbI33PMWACRjd/u1BL
Xq+zaOTN4IIAfOYthwnW8GBCIQoGfgv1zhvoDNimHZVzbDFOyRsSOP2oT+aSIKE52i8DExryCOm8
ZJHWrEAN/eArdPAAQUiMQln7QwPjphr9uKpny987GDgbagFvyAWv/6UOGoTVkYdErZxV6yqL6B0p
nSkA9auRRwd/Og2dfc+aIZ8geJiJfKrZDAVmM1FcJGaLlmBJQwBmTpYQM4lco7xN1RErRl8WN6iK
+i58X7gBdh7MFobwCB1d8QmGr2w6NT6MIfNpFkrOavKx7INp1fumM6GrkpGo/8/eeTVHbqRZ9BdB
AZ/A45avIllkFU2T/YJgN7vhTSaAhPn1e9Ay21KEdkbvinlQxEgkywCJz9x7boUi00qxoCK2geHW
qp2QzfTg2UUl1vM0ZPyoPxnz5wblbfov1eW/8rHYuJi4Hv/+BrxP0j/fer/+wG+3XmD+4mELoT0n
x/fHRPqP0Xbg/kJ0FFoHGA1/scWR7hYKD5O+Ywmffyxt22/DbWxxDvccjpMfIdu45v7JrWf99blG
dBVoBKQ0Fu08s5e/1PnRYMQ6qTzvqEfEXRs7m/NrsmAXPNfVa2fy2k8hm/gdXLx5Zw1jdAoKsCvg
1sZnrwqaN9fP2k+mU2F8Hbmcf/okH37tN34Wv/x1vsGrs03ePi/QXpxzfymqoZKoiMWRe8y0W797
iTs+SDNZXMMjmgaZFhPFLNbltqlz9z90dMSL/rV+XGYrFsemj4/I/+E8+rnPihLgUH6fymMUR6+l
jBzm7X0a3uWhqv0NQjZxi/oDMaGz6ApHN0yfMTunn8e5mj/EDwEi4m/nFBdxu839vth3P6SKStb+
RfwQMI6LljFaVI1W4zQ7CIjualYU5NlYsvxzdVveJ3hLGnpW4E9mIMFoI9cTG2aoJRvZHhkcTjsf
UmLm229sOdmwtlmymtugvhGLBlPVRX9NqrbC87JINI1ukWvGEqrLOlxUnGhCzU8Gu9FtkIunnoKK
XQSIHRwHflOdlQu82kgWUaha9KGTUUbr3JidFWho5KOzGDTlCnOYdZNUybpchKbVD82pschPvSED
5bdIUoMBED2LCJjUKIgX1SpfgH8InHzaDQljzjFkpGm4Nitc7F7yGvZGdjHbNLU2lC4ct7WJOL8S
ptoEyRhuh95R6U47I+6+lFvpitYzhkP+Q207u0n3ZPV1sq06MfRHTKgoGisbIvWY9qj0LWdgXJEy
gdmVVo7RvYq6HBk17ZllbCGHOjdoNkxwc3FKVZ0nKPdROCMUbjLDPXhoBo1V4fpqNXjeK11YsE08
v3rIKzXu2ljacEC8BGDYDzFybI5sNbDAY/VCqzwVtrHHaYF+ObGZV5npjmGy3nCnhkeyCMrrbGPR
WOHDpEJe9NABhpr3RHTNYV7U0mHRoJtOFdbFzu7ieSUy9K1rQG4jUutFdR0s+uvICMYTvrLoxcns
/hAMydCsCuEl39zB1PfWDw13Wonymy3cvF7ZM+MSFDdVuUgtcDzwJPUcRsaLJJx77zGJwZOfe8Qe
eLMpDf3hETF4OjYrKaoaqzuCiXidjSDOV0HT5R9VlkRpsOpUtrdNVJd5rku4TnlSaiZ3PN7MOyDq
Kn1Hw1Jgmam0a8NuZsAw9zOwJ9PJ9KuPSD68nTwATLPh4ESPwn5U3BXSAAsf9WACVIiHdc3UiMK5
61VlbGv0Onca6+/E4xN5+7bXxpw+Tk49TQd0MjyzjahiHV9Xqow3qk/i5rOLwapYIfXwYLNOXqUQ
+eTmYZZxwqMAZIFKhhQuMcTD97aGRmWRFu2tDJwxxylv8yti2uUwTHj/OdiW+2zuWQf2tQzXhh3y
19Ty3qYk8h5VNFvDVnotCAFgdS3xB37mrqDN8+rBWc4HWY/zIa2H5q2NvPpt0NjlVqGnG71hpuAE
MOH70WB4MvZfzEz15l3GnME8Mwx2+nVjN/W7agugno1RzLsfRzlsVz4nfH32lu6TczQ3On0eU3t+
KVrHSJHSDs6ct5hMwN7MG54E1vTu9b0ym1OgU5N/5DH7FK6jCXI32g9rHvRrxdYsbVcGgpj3fupK
Lh01tzc1pPWzbC1eMcq12tgNPWzqlWsoeBiBXdxPVaKBjdYpKKTWykb4HLF975JroFYp8MV75RXE
PFSxX3ubYNL6yDYfuAoyjqS8LQ2EDxyJ88C1WzbusUJNqs+uVABRmPJG/aZqlfhs6GrAa0VjE67x
5i1+GYolc9UnJCzA2BXDW20Z9Zn1CUIFhkf1KgpM9xjbMLTyoa2/tFb37Izw/XUYZt7e6sLh0vuF
U2wMRsbg4pNAIrEJGBiw/YPn63pZtLMwG90ljkbybhhTdZtAaaQf70cfwF/vfcXhyG5GOxYMhSHf
ZjYOnTXd7njrFll9EyU6wTgzq3YFMRAAlwwaD9GYsm4co+iOIZNNseICMp5ynjMzbzmcNm4oi3pl
yVLYa99r0e/0tW1nsCshKO2R+0+cftrPFDpA5O3eInQfF8l7u4jffzzD/+3c/kPnxhTDZgD294Xj
kin+c8/22w/80bMtjRm6YuQ3P4zPVGa/aSJQPfxi+ix8PHjbIRchOuufVBGwFoikodD7vWJc+jg6
OVhw7L6o8v6RJOJHRfjTZNgMMDnD/KCJdBb3tPOX/U8t6zSpJw7WsJqNOV8HQzNNOx4D4QteKeeY
j2M+r3UcNzet57Yf1jSl+xEUzcMkK3VQcgBP1dTMsfo+3JapNV6TafIeoLC1JpynYuSmZ0k3mL2e
D+CZ0MheDTGNlVz3oUYt8pwgxcIqBNWVXWZM9cHko4iM+7B0dXmqVabacI14pA6+O42YkFUO7JRG
fYxFb8GajwRLBFbOgdSPOH5NWsGqFjZLd/BYW9BiYGn5LF3nPiAkZA2ViScVXhcCYko7XkYz88To
pHRLKsIiPUdlmeylsGdnPVR+9FSVdvI0d2RQ8KbYFyPx+IJtMX2is1Ny3ZRJdhlr79yNSh5nL413
SR3176FlItRty4hd7eJwAP3vrMNaY2llgjYLuzplMYRSiL1zPnAsDTzB5Q3tZFlZC853PCdxro0j
yN5h2uS5EU+PBkbK2dyYcZ7Fu8htsFLtcYslPcgoE+oDUsg4stIC2aHGQ3T1CzNVdw2wcXzjq5Ld
VKn/5a38d60ktw235d+fCOdv+v3j/eczgd5z+ZHfz4TlxmcOw/AcJ8CvIJXfz4RlRfjTIWAKR9A6
uoy+KRj/7yyAFcoEczEsuEwVGbf8o+7xry0SRxOTId+2ORJQbom/avaTzh11pRrnTkSteJkG1ztO
jmUoRtCFuZmwmy/a3PrkW6G0qBOkxoRJNzT4AXJEu5W3yKF6+5UyOWfeXKjkBvGI467tRo443xUa
Fke7+rXL0cN38URCUjPZ45qDAH9/02XdZvSTSu/7YbKuvdPWb5WO9P2sQu7cwKiGnipMsUGRAJh3
aenmBwEADYN0rvuVIGti74e8xFWTZGPOmrJeXOiTMz6404R7NhmDIT7gm5j7zZhnJprPAoB/MeX5
hxSGxK/k6XI1DOV4H0U18mNAerz3sikZaGdjmotjPSl33s0W26o9JnD+rdOyGzz1QTw9yMST0zGm
3mT5Uk6jcQp4gaw+oxnPbS3LEpZb0NSX0M3i65zl+p64phVQg4IxewLRgV1SrfecWuJQglCQKD7r
mfApklseVNDn1cZw1dg1+Kbs565pOjFDsP717o8sL+2Zt6OXF/vAq4AKEvdhcmKMgNYrc50vxwrc
quWI6SYOF7e1ambOTQx2Zo2wIqgAjqesxYvxE45qt3Wu2EoRlDHKggjjpZEe0QtpN4y2ZZGqcNXU
sSp3TdAEYOAYtvtUIEaSRfeRNRk7DaqhHdZe2zk2H2avRYdRz9DJhg7QF/XBbAcrurFVUkQb6cLP
4cKhUp7HzJt3BtQJPOM8jlDcdB3GcPNsTWXWOYqjtdUDe5x8oMG0XmMafHt+G5kiVOqjG2RXQt9m
8FdEl39LoP/KA+biVP//Drx79Y0kvD8deL/+yB8Hnv+LC2/TgmIsoDYt9NE/DjyXGBKH+sj7UQOB
cfnj/COU3V/ALszJYE4tBc/vtdAyWKMzYZrNQEcQRfKP4C9M3P48IjKpATwURTboZ0YVDPn+vPXN
254ncR+mD1lObxWuHcvEiKkAKd2HUeO6F9eXqmWnYlakFkSgmsm10Km/ziNdD+NZ/rhJRC7zVdul
IDKvya93khegVEJHhQ9o1RC1dKBlMYeHrpDmR2k2A1MJBKlpsFZWgiPfxj2K87sGjxjofR268Ra5
WXYqs8r67sQViWthK4MvBtDRNYKP+CRyVwLZi2dQ5HhyPGYzJNXV88aB1QeHL6WVBzHe9wjyVMme
tGiUR3fhGs/CNL6gGkk25eIAqhhXnv1Ep8eUmfntiHH1KLTXfx4yOkwmWugRVeUnVyWCPMHTNE5Q
KOYo3DT2UKqt0/COGWTNHc2sLJpNCP7pRkaMqHSKlzYe/C8pw/ZnWBVJdvYIqNu0aSPuU2XiGJqo
ZVKU9Au6WCRJsopCIMWr1uzS6VF4XVdt+Cam12hCjGZg8elX0xjFj2TIQH0hXCLK1xMv/5j6UXLD
Tnp8dZk3eXvfHQF6Vo5m+ZsjsDetrLR2Aq4hc7HUaT5NigFEHMusXQcECZ6MtjLrleEFoFHLaA4o
HgfRQ6d3uSSyOaVYFWOCfy+jI1M4R8T0xvxMYnEBwWeubeYiI6TEZNykZu/Q2SufuKos+S4U9vyE
jK9Dm7poBGLH33gyhdZZJ+IiWRvDxyM/DF1eV1/INFOnqUbFBBLQuhheOGwrXfqnyBVkHSjl+R9D
E2Iup4E4C9ua0exNdZmwqJiYFO0kmsVbN0ZgeWdWvSmaE4r/IWhYuFQwobd8EBDsmd5UzYObywRZ
bZVa7sp0yA2D1xOkdO592bq3CHAJVVkxCgkoJhsLxPmmnPn0Ln0b813NlhaPZVOlw0YAaW1eCqUF
3rG6XYqHEMGWMkF/rMlnEe3Gt+HKnJbokvAWt1DyUSK9BAhUiFyw65xK41ZTTLeLtq8+tyT73eqq
S278qBqAkyZ+s8rbgVifBkDtcSQP0cPxDkeVUBLfTOBTIh49sKsqrFVnTZ21HnAudQcT0/YO5G76
gK2G2JNE6oShh4pK7uwoEIvgaEq7DU9tjDxN1Gh9O89pLze24eIASvg2N40ulwFuZSj0Lqy0YiDb
hCAiiO5LcTfO5XAuWs/cq5ytfBIjwuaKcw3QiAKWCGrj9GyQDKF5PkZFsvIs01f4zoPh1U7bet+F
o8QLZbbXeURRcmFy+tWYw4p7yvBrKiEPxOKZlqRlXCgBvO7ifqpf4aqbLgyDnn5lDmwyJaJGVXv+
Tyz/bN667sBJND3iBBxxeXt+J9dM6Wx/X5iJveySI+fo1I36joz02ev94NZJvXZ+1Lmtm8OQJ1Z9
VNE0boLGYGTRtiaKy8y+uNXA/Ri5YVZus5jTzOvNCkqDzPbz6ASnzAgAMAWDMY63o0XLKIh5g/TS
qHwfBIRwFlYcGeuU76rexc3MCh6Y7gWxrYnRsE+KDeI1+6YmbXTrBJkRbo2UvmsDLcd6amY33ZhO
YfM9526cfVFSZO8ZhJhneNX6jeWGVszNXZd7jQp3Y2Szsy0tFBlH8EXuunD6rN36SRurG/4D2EOW
wYANToXfTIADgrlMTm5reCzuJld4DcEzU8HgmHCfZG23PuYuz1cxGjsmeQco0sSnRF05YMCpvbJ3
7wCPouoPKgDQFnjYFwqXTy6XMDKidmRQg0ffPvjBIC6+x3Qclca06ewEa2TIeHwLENfeYk0DRrDI
/K9V1LrnorR7vSqVKK27QdWAuTriQPaBrJ1X2SHMG0cdIj6CSrWhTS5IV0QxRXSczsb+joLWOs+T
1V5LpJYKyMwwxhdr1JEiGsYtpnk6lI7oBFl6Ls656CRbTo2zG+TW7t966r+pp6gO/t9y6n9U/l61
7+3PBdWvP/P7NjIky5h1FqUR06k/GW1CF5899ht6RkFYBEq2P+oph8A3foT5P6It6vGfZ0sIC5in
ws0PF6FAQIH2T4QAwbLQ+2m4ZFn8tmVStaxFkQMs5qKfV24yRWTT2D22zCII1r1n6LOCebufo2Q8
FTGegtmoEf7XwzBB8mnFrUcdQ0qVZQ3Xuu6Z57aN8V4Aq7jLKRzPcxU5T36WpdyVDXjouHXFGTV+
e50ynT6RBFTsc3Izj2XsW5/rJgq2RSayE0LybTe18otG0HjAuqlSqC8D7Ke2b+avZoMiKoWFba+j
EfuaatP8FFZFdRMJh84W9bUzdtVdDYUI7lNUcoRwJFi6HWA8l2W5Lg0CI2wjFqdS9rjggBzf15RC
+6YIWHS0saZcQEZ/GY0+PIs0N+8s2Mp3kzMZ4PFrR+7IAyn2RM/Gr1aYhmfLyB8wBvZ3kW09zSZG
BZhsaPilG5JwJBvnu0PSMLFqbIkCS1c2zx7VPRB0y9Qa2+7Wcb2RfOeChtCDjPkxDPwRRzmLsFIV
+6qv82fpZtgBxsLN9vAFs0PYLmIvdyg3ppjoEC27/1QHaXTf9clw6ep0/hpOA/tA1TuXOA9I6pwy
dfYd5vyez4dj2na6w2/Y35ijL7+UJKdtdBWLXaMLTSJvztvgYAJsWBUoxgYbUo3bfxihswgq0bmH
zY1doRONjHHb44IGHV9Xm9aL7sq8KY9GYBwJiMrpHmuOUK3kXkrtfYcsjX0+69Ib/N/Dnk4hOlIj
lA/WLGab6OAsPyUTc/UtXsz+pnGn7CWe0vBNSNjcGXblU9Sw+2r0IJ/CyE3vZma2d9h1WGv2ykk/
kcdNLlRvFo8IWpp9iTkhXA2yhvNGpHaGCMVxLvOEUoNHyrybhCgwQzaBuFZpQ1xmxcAfRK+jb300
Lg+h4lqp486PkBG6xdclvvcc+T4+5rF3YG01xb5s/PStD0T6KpvEOldx413KoIDoAPr2TBPt3NiD
Vx8U4dT3eIDbJx5s4XosAWWXRk+IcgQlLKy84GzLxn6r0ADdydjNj6nFai7LChdnft4Wu8GFX100
w42dQDvU0OkPhtlt2aAx9e4D4qEnsFIAFSPxLp3hmydHwFpTw/OHoFyixiN3J5gAbPBJ2C+Om38F
u93EayN27TcRVE+1duaXtoXqPZuVeakTonzxl0XGyTPw8yJrDMxzorEJkIDmy/c2UtmDiAk8RXbp
kGEL9WdfaX6IoO3iOUiJytWOobZAr0qAg3yJg+OkR9by/iZwi/KRCqP74gShVlQF1hO8S5Y/g3+q
B7mvqsBfzwSrIkvEJHcBVkrPFBUHfyI524/m6ujmZb1pG0YjPYflW0f49lF4ZbSbUkL7RNuxl8bp
e8Wr4H6bR0IlnTxLgPouY6LGy19pq8ZnAeH30tjwbPhCBTz2hIA5ySTlwWCpTLaavJFKQ5wKw51H
fvY+agfzLmC1vZfFhdpQv+Jyrze571iXzIydA7W32a5ZuetzZWr11engLpEztxnMUexrNB1bXZBR
sF0i1l475PLNqiFwhRx0AeOjmicg522d7wkQmNnpTZ5YKz36wAENdm5xNAEWBuO7msHwBRuyzp7j
eWIrWORhQyROvJTBLQNmBMXmTdzI5o4sQ0IJLeM1s3PiygjDcbZpERJa7UsT7SuSisJIP+XBYLL+
bc1tbRLTaWd5/aXw8cFFdRJevDLwj0T8wjleqvRL2hlkQwi4k1XTvvuZGPeZ6QUPZgs1lZm7Y551
sGQ2koZcrOyg8LelU4cvIU+NM1qB5JMK3PS2nPXncO78A0/EeT1lrT63SDG5lIbsts0Ii+gmI7yl
RlMPXRbJuwyW5YsRpcW5zctmy/CKXI6whgGGSg1/jHQ+5UNJsdbxLlUU1IwUM/sbPIb+biAk4911
5PJw6We8hwzInjsb6t3Kxyy4Y6QQ49omqRkG07CGZ5E8YGvjEA9dj1wBOT6aPR99lXjzZpo62JWj
HSCEDRkmjgXJQ47IBi40awCL4XqSb7af9xSU6MqYDx7zcG6eiz7ap7Cjt/kUzQ8549ctLYzZsC40
5wzDYuWuPDKnfVnrs6Vj+4QyIP88SKICBhtOgrZ43GKmGm/ayG4OrKfGGu6aCt9yH1hrWQ3mK/l3
0YGTKTlGnb2ZbN97mKGCfG0IvTo1XWDsyli091ZaFUcgixE+vbi9FNMQPMc4+XeWKc1Hpgwmf05Q
+U+T4e+cRKizmoj6IIqJHO2e479X3dyuitElStMZLJw+Af6PJQqCkhmZd6VS+vG+HjwwCxb9LUa6
PDUvqPEUz/4si596mmta9l4ismW80V1kLItDnXBLr8ZmIZnNrQLUJaJAfg/ByB11kdgrdxyM29Qu
tziUyge9TG06r3/zlAfKoW7ZUgX90H/JO//NS5N3M+q/kyf3FtTU59aMdHEeUFE7sjyqSkxbJdMn
W8bNqUmEeNKEqL7kAD++MokfP6EceAtYHRtc6unUIRcnK56xwamRrdTdHhEviI47Si325qvZzmEA
pHaNopJFe0JStoeEaBj74EF2cvJfWz9a6ItOcCj0wBdnYNwnoV7PCDpqc99PVD37Mmnqu7SRRv3W
cIBSe4V6Y7E43sl8istTYBDL1Q6ZvaHIy2+seKpOvUrFmzd58rMpInLNozEpbkTiWeoJS2sS7YlW
L+ZqPbbDDCk57rzsA21Pazx7Ej/r1kp0BBLNSPP6KJkcbCrDnGCE1NVO++2nVhAHqUYyLMyJb7KL
3U+jYQ8HuKtiPZFjcua/HHdhISgnwfOlyr2FHs7k2TQgB+fgjl4MoY0DtchzNSfFFuaqQCgfGo+J
kca3oyCIJ66s6azJ1j0rvs0T2LNVl6TDO6TG6aRCsmFbKOd7qxph5fZLueXM2CfR9ambND3m0S4X
/oT+IeoOQcF6I5dBum9ZSq6J/LzgEm835KHEx9mNu2MfRdFJ4e48dWZ8C0iiWJvCam6TyO82EyGn
n3t4IOuAQJN9KnW6yzrMs0YMvV6lBY5O1nxgjoGyrLqIFGCPr/nQmyQldoVd7j0whN8xK1NGN3kD
Fw+Yk2N9+CjZgk/ISSrRfu1dIXPvGaM2Fcc6lUVaFr/q6/7VBfwHXcDi1aSt+fstIIniKk7/tAb8
7Wd+7+LMXwIXvAEn4yK9/iFM/G0qHni/UKkCnWIr94NLzsD8t63gskf8XRFg/rIkdyOsXLyj8Gz+
SdOGwenPTZsbghTgf/SI4NaYAfGHfm7aQptVcVQHBaiT+I2Rz7jq2rwGAWu+Vob/qLi7KrOXr0Fp
vU4DRvFeTMQfs5+ZCNGcDWkfHboSKBIhIABr8I5hnxd7QhIAdRqSJ64O1XdiYNH+JSJAuNOat2TT
N59ZdZpXw4arPBtdDzBlmNdNkKa7CKgKufLiSpMXPAxzusmDrryphnTgt/UkAwxSMhqzeRQNrjqZ
nUI5V95Pre2xVXRxAxXjUbVivqCt8TZYYcQal37/ZKchW0JGyMckTQgnMazLgMxo33bxJ99F9GQP
RBCIskjuOjO1oJ3zmjDSpQ8YkNQW7Kd8gGi3ddPipee46J2RzEDpe4dS6Pe6hwmsHU3mHffwl5Q5
4U0+uDNut5kVZSH9vUfBBy5awc0l/gl+VjFu6SQ+ugyAodvb0SaFpL2KRP9u64miocMIG+Ylzm1i
YDJGtfu5q+It3+pqSER1LWW76+C9z7VxHzED3faGHA+NE2KdE7V1DXGgv3baaz55OtuVqJ5mqyuv
OfZEIMOBQhQZ8ExcR7hIWAXHpCcHWMAlvKrXfq7TS+4k7tFpjW7tOBXOkCbW6lFCHX8kjMy7cfMJ
CZNReupAdyNvsamlZ0Srw2sU2u1H6Pnhy1g6OU8B5qtEGYngNtHQN9ohd4+yL4ILNjJSTwuHwRg5
vd4BYVzzJtIMv1wmdPFSQei78Yok3Jt2YWGYn03B8LmoWTKYjboV0g42ECMtPryQXcoq6bEktXZT
nVQboccADl6dpDEDNpNBxYg6LfKB8qEu0zNRGfXNxBG6sweRfRa2NvwNK4ZqS/MfvWR2UT8GTlRu
xzKtH2lorTNGGRa8Qxbe0toS8t1EyPDYgqEESXOcqmVGMwvNF82Mp9Nz3+XM1Xsmjds2JS1oZm9y
cLphISKlGouzDNx3BIkFRr/J/KJ6VImGw4xyHRNpfYhVzX+DyO6BDxBuxDilMwxu03rStVedxo5f
KWwe8RuzYiEN5KF48SCT5wfc3bx5OcXTlYkKr7GE63tFylzftLXn5yif+R6YWvALrW5M5BaIWbWd
yDxf0qibt4T7b58SxEBtz1NoE41puwjfuuKlsar0DEWh/UjlrEHpO803b1RkRfd1c//jlWVR1gRA
5Cx+fWHb4hLPCWMXHsForsmmvrgj1yAAq/I7THuSDoDHP7WZO6xrf/KBvC5vvHPK6Tr1XvcsgEB/
LwrGz0dPc4hsAoSgWzNsl+W5m33+caVlXsdfm+NlUWRNtneTjhAwqKjre5Ym7CySOOuhTsvixSX4
8BMEi7TedqUrLtR57rFGMXTFX1xvgLjZBKb3wj0Qn82p17vVycCfTPcRAbMl67f7YGeV0pfB4gdz
M7H2suxrZGbBdZAGaX1ckRSboRd9Dm3M39SsSYpMeeQX6YC/KCbAY0WcGI/1LBmTIVt8pFgN2Th2
iKuWb6scyvoxjac2WLd5VBGSTTjpuib35nYSrndrMaaNGFkXid74Mb8eJUW8FsUin2SnTp4LJH10
GGsb5Rf42/ncVslZywlYV/ukZVyTJUE6KxLfuIQ9EQZ3dtffm0P8AAkCE1qXHMpMffeG8CZ06oJ8
c5BftriOrbNzdLLH6vsSq5aVFgDvW9/nFzYRDhyccHYz1eBcqvra8RzrV7ZTU2Wlln91m+wZsah1
9lFhExsfxFDQiHK2ROVi2ZzO6RhuhhH/elSfnEosuApjvLdGO9sFhEkiGQ38ZO/Xebai5XdZCuUl
chDmGFoXzboLWGxtDGV9IGtFTm1/kxXcFky1zQ2C3nZb2aV1dGzvq7K6QwWGmMckeBPdO/cU7UTW
xfYrK6ivAM1pUKu23BHVBctkqvTWKAHeZ+0MDQ0rs143vl8/ooRw1yyW5o9Se2t7TkCAUxfumm4k
eK9v0KvleyfrkrXnzXzB6NZ3o1ysAkRV3Oa+9Yyc1V4J8Ij5OJVHk1zQw8AhvDED8tvGipQG0Mv0
Cfj3WCW9SbN3F+OqeTvlpjgpLvx9Nvlw7XX0ZlqlXBvYEGHTMDdsrk0aiG+pLVJgltL8LHyDwVye
P8Eyyd5pxpwt9zrifkcGa2rIdgV6ujsh+mDNrOeZ88DRxSFm3mSt2KS7uG83dhg9yrL9SKYu2ppV
MJ3HRA0NmZUASPGT2oyRKuwQ21nb1S24RFZkQ37hsmKM40fWg8OgYTvYkI7WJVYBQKyk3rF3Yf9r
2c231rPz7VzaxwmHPEu65r0vasYpQRtuMku/mhHtjVnztA+BLZKP1381XfNNJpDnJhk9D1YzrRyH
1AHPGfI1tjTjTrmUxRPCGJ/bED1xFb8GGc/hqnU2HXCAW4Lo4y1FQvDBoF1fBeuZZ/ZaSw0B6XXd
uv50GrpooH+3WVSuGfQ+Z4KxkQsm6lsbiexbp1RxCtk6rqq4haepgWfyTB928HtOQ1w622nuzLOI
svrCvH7cxImksnIMxAWNCs6NbobPlTkVnwfbcs4+k761R4W1Uux2NgSg15zkXdqLNdYfuY7yMghX
/pjFt3pk9HVqweCNK1bV/tkOZb8LYlma3BLxC0YT4963FKB9xx4lXyITlUjFxlbnWX8rPOVyxVRR
jHAJhdPKnQlfp/+ozzVeqBMG2ogcEa/cRq2MXkKZdtcBkXy2nVtZAYsJK+PcxYF3pFLI95ZZy206
FhHjK69mBa7G72gr7XtSHrrnQaXDgd5YfvJlV+NpmBjvz5haBjG0SJ4ahssC/CgS0xsYXcbJrDnA
GgvCbB157brBlrHOoina1akV8LIKuZ/c4otoiY9Coj/c575h3pFep3aFU6u9tBON4JMIR2qGu7HO
dq5h7GM7ZlwVzG+ZUnWzySoNshA/8nq2cgv4JMPS0jXBV6vc3SOwuBvThAa2Zl1I/IezI2FCP8wE
COLxJ86k9jGWT4MsHhEWDIs3xnhzOqb7TLW+DYK5hPSnbhc2frzri6hZGQ77D6WW1EsF+wJHp73S
gXnlCVrfV0RvAtnGpdOag/fiNON+ZG23aZ35cfIdscj+WYIGRDxMFUmXAxvpwlLbWtfxNzlOe6fj
kUcaYLHVaUaElzmOp1RbLfEabXQcZHSbxvLqYoLeMA3JjgTFjDdRFiRht8mMhBEwIP1rmHO6Wjei
N/xUb7MmKaxmn5dDFl8cP5NMkfoW6ixv2EXVBzcz5pEQS5NhfmjGU7kWBBKNx5H6d771KFVyrMxl
7m2nNmOpGjRoK7w+HzOmjLrv6w0RQrDRWaIs3BfmiNoFvxPV9oGn4aexdC+LEmRXViG4SrcfHoEu
kj8wzUQ2ZF69y7Tn3nXe/CohKW3nxr8CmoUVM3fdNQkJ4MVRkd1DWfO+kLkKh9Wu5i/W/7J3Jstx
I1mXfpW23qMMjsmBRW8CMZPBSSQlagPjIGIeHfPT9wcqs0qk8md29ro2SkuTSEQADh/uPec7GARO
Qy61bSz6H/jZEejaBsFEfQ/RyZXWkQLRwOwXqStvyIzzQTr1TchWZWMEKASgv30HLwF8Ju+SxwGx
ox9rjUWPmHJArsWojxOgZWmNGKXv4xHHvouBJqDuP7ZUKHXXu/U0ysy0xM5mnAqrLEtepIFvy6pz
ei4i9UkOfY4yQ62DNvaOUzg7xSYRy6Y/nJr2CUFN+wLfPTkfhoIkJldZe9OJ7UOTeF/0njjLVc1e
BpBY36aHmXBQyr6zNZ1bcUPZOsvnrxnhFicV5c8cQMN8Q0plV62GdrbPqPqWgAeiZySNrPpanb/I
3lnmrKBtt10R99tG6M0D2xdnA3h6vGkDSrDsgW7MOLEvsSGGoC9hKR2RxVNSn8jiGbtiuHcoq53R
4CrO5wx6iF9PbXaZFjVU+9k1o6eiJipjFSTxiNErYinQvUYC6YgJxl4Nmee+kMrHxNGHtriJu9D9
2jayepjNnGQ5TL3VqgcaoTHl0133O30obgs2/YDXZpdidFtuFRPjxhXzIZ6oVlUDhyxaX+lFHHbD
g2hpqDu1pJFmLxiSJkkWswoXv6xDNiVJ6eISI/q1vTUNvQmDTQupbDbLFbvnlpSUMR5mAK30JwgX
qlX/Gqk830uzjRc5fUV7sviRjhTn1RRIjo/qPG06dGNh4944ud5fhVFb3VBMhqg81OxuExK07ZDk
myaAFJZ4bnDkg91x8AvW0ovKLd1KqKiORmbYf1v3/y+te9yri5Pif676fI3Vcwl4+p0a8o+f+rPu
45CI6cCEQm/o/sG8/6Pu4xn/cjkgEJZJNQjcwiLE/lMNjv3DhXPi4vC1DJSPfIw/6kDg8DFzSJ2D
DSUjlyS9f1IIeq+FBI+J3942dQPBrvXG8nxfBjKEHqX4HZ0zYr7weeRivLIFjo95mjCEtI2yqXn9
+wb9hTv4ry4ojaXeJTDKUHx6f8GUb10ZVW6fmTbHd9GTVzzjCrxygN3uOfCIi8+vt9Sx/iNO+PkF
qZpxvzy6i6Bl3l/PSxwSvlBJnEm6kY+JxwXMJBG3ijP67vNLvTc+v12KR82zhh+GhnVBL/xaUsNi
GIVdKqwzFkn7MZYJied036oVGjhx0c6zdy9TTj+EuI83n1/6L74lI8lmNLjUGH9j5Q01QRo6686Z
MhLcdC4bJkSNBQSQPixy//OLfWD0vH1RRqDwKBtCyiMC9v0XHcuM2MQxts6GEvs3B7BG71dDooMY
61uJCK0w2S4c83Hk/DpRxFDfLFFmEd2tWEM8UHjnn3+i378+0ZCuA2Iav7C0FsXxr3c+ERF1rDCw
ztyBjDkfHCMrq5byx//ftfBngKllCDNwPgyokCTEDO+ThS5uEBedpakXoubGmy4xqofPv9ZyH9+P
XQe5IAQcm2QHF6Tc+68FGbNBB9hZZ30QvSqDfkFnQL/7/CJ/de+YhEA8cTFmqQ8PU+8TmB1Gxu4j
VeVZ4vYUSN0FGyTmlOLR5xcTy935+JXIIRCGgzBliQ9+/5XcwBRsRYR5lhgAc9ZmzzVJn6a+lDWq
enBpYDxy2OIljb3xZopa8wBRyDz8zcdAgfXbxwAIZOjLq7qYat5/DMQ2RhA4bLlGtzWOlCkJsqwD
zz2vNMUIJUIh36SpgZZ3muGRrd9eXqjzHLY91ew//zR/9QQWf5BF/9eWvwEh04zeILIXXt6eMhSu
wGE1oNs5s6rG2/zzSzkI8HEVsrQYH0fUWLlN2cjaPIttbq/nLVRAPCBM9S6krb+Beb2f6pm+FwS0
LqEwG1zut+FbRW2Z1XWlHYNJT8CzYh5+KMyMPdoAEYvEYmaHz7/eWxrzf4bXckm4HNgHiJ7luSLz
f/9cq3S2DOxP3lEPAExhc+HAphqFQw5R6k2sMP0RbzWPV5GbGLfIjqm3jSALpVZUwxoNdI1nnOXv
bQZprbRSDACD2mIQaewHY0HV+POPDLbn3VgEWutQQkC+R0HVJEb3I3kUq05C7rNpHVWm51t9jmbO
to62DYVKu1WpYy8KfU4FTRlQASRBY4MMz7kG/ZDRtU4yPmMAAC72AztsX9j/ti8jEg3CZaOZ98oA
RRWt9YbaCQLkgWo7yVlUniN3vEGZ0pBgz481OEcPcuLn1ioxzMNgJPVD20sAXaFlHpuEGwj4NZmu
KDQjyMH24d1DtdISWGpBLfZC2YsVWVILWudeRJmZqnJgrsIuNhEeFzXXcLnTjoqwT9WY3VZWbwG0
IrxTXKioZIRUlqgeJnzi804L4NYeh8qkaN2G2MimRhTRkbC29iVNsvpBVoVRHXMRTzfCZdeiGS0V
pBnaaPxdQNMHrTCbDl3/AZPEPc5qxl6bOo9pbDDaLSJaHyfhqRclqmWF7nv7Ee+X8VzNgbHva1nf
NE5L33WQtU+J38Ierryecw96+pyukhC3HOJ5Sd+q2eQNoHe3uKMB3YPJMuJdYJrqpVEtAQMl2r6W
dj6nZGAaN0pxUqbjoV4qz+I5vdlwxdiolxTCpsGhlzLwrAJh+u7UePddNfGvtGAyD16A2WuVJxNi
wZb7ZhFUWP9cURE7udtK4W0nsDhqkj2dB9K0Uagxsq3IsSai9WjaHKNlY6IlcryiQuSd64lBd6Cc
OAvRLaALQiYb8eS0j6N1ihThUTopd5Po2wpERelOHGT1QDrHapkvNaT/aqesnqQCTPd8GJqYKcED
LeuiU0a8fyXFAJwtsysuIi3PeJR23rooFFxaW3KyWG/aFH08ug5gfCBRNO+eUHd+rdvSfSDnc7yq
xMI8aFtJICCabDYdbQF9xqdzNZ9mBBmhL+LcfkTTZj86EWKBlSoaLyMLTTRf0AsY+xlalVxT97G+
F8g8bt05nk5ZTVZlTTlAoO/PhEsSm94c6cdjO4aTwG/JxhF/MDKpta4C5xZIbgz2m757ukI0PV2Q
daWf5VYESDlPPY9GhyJhlnRnf0KFdUspxN7g+KjAL+gTbQDGJBYKMuyu20q50OmDLv9R2k376lpz
ebANifrBsbvCn8YENyROwGrw54yJi9A2NEetNlXfnCxt1FbZk/OMx1isVVtQa8V8Em51Io+GlddV
8VokZbGDg1VeeKT2AgifVfQ9XCqOsmxRdJEtt6uLKTjDNyHrnasG5wHsK/S7opq/Y9KmCm/lRAmP
dDO/F1mdbmD+zL5C6wTMJbChV6dD8T3B19iuix5BRKrT41w2owQajrUyaKjk2qZmD7gQu+hnugaF
24iaFzXs4KajYXAo0ro6JA1l88nuph+EFQ0bZBza9eSV+bc47dHuTwUszCJGdVcr4pXS5lG22DTc
mLpGgATU7/qGFlxV8otc7QKCts70T/UITVNjgtN2JOXAlkIMnjWbmqp0w3J58tVwzk7X3RummOw1
9YyBBBcgp8RMk4pkdWSEuyV6jIxI3PVcTiQZ52V3V6VOXfl9obadDZy2iPTnTKrym5fFxir2BCwZ
LSCiKeNzeJgErlmVgIrNTO/njlUv/VSdJypDIzkngqi40tuuuoJVyaDWcMG1j1PQigvNSHglFN3s
cVNWrZGcOWOwBDsiVK4JsGQ2DBv4ZX45e+J2gsEPYoPO+30jOwBAbjfa+iaNo5EybVnrCDkldBDf
sFEDBcIar7Kx1nw5Zc0eOQrrsdvZxFdlhkVESJMtv02MldqBvWQKYjZmY7ZgALSRc5RSCVs4hzYZ
QieLV7+L7HqPsyIZ97ZIq4eK4hIfTVIiRThbZA9GWYfs56IOMKxZGvSVRKSq/DuxmW71OlVU/BTW
UTIAZUu3hqbgj9wdINPAsrS/Yi3yDk3kqX2Gsi5aFWMYEyAtkuhJ9e0jekyyGK04xFs7MX18y2at
077Ec4Wn3zUi96JvEgz6RKRtomEgskxzUPC6RXU3e8DuV560hrvebvIbJ6xeiTb7NtLrvkwh9eyZ
V+kUGR59DaurjJewjcKXOY6HL/QKeXK88cmm7kGsEAwmB+ikUUz4Tp0pecTsAcV0HLIKIpzDPO6n
OKmGPfYf/cyqy+lUK0yEzjzGOL3ylFa2w1PAkUE94V4r+rHYjKLNTmRRWZdzPGeXtbC6mzx2a79B
u/gMIT3bkEtqPhEkQIKSU5FSaQcG5UfodLFPZD3yw24evFVeZ0wXHvIIqkXWcRr6p6DShi+ULtNr
0cGiaTBHf08HJw39hu47a+ViB6snM7zwAPueGjLYjpo3YBGM+lA9GvFQgU41PVKqUIQLR9eCldVC
+6YXMMVbjc0s9V5hGHCbLDAO2ygr0PenVYU2nJp2FUfBuT5183UbYcYj0Gt46LK2JsJXKSs+jvE4
2j4yUM0hzWhw0wtn1Idq50Wd2nPK1c4T4Hx3IBAMaD1ph96X4FM9hTXhDhcDK/yr6Gt16qqq340s
hGdFovJsTWcYhE8pOF5ETG47gDCCXgM7C40Gj+yvQ6Mn/KdIAqBJxCA1D+nYArSGHHROCZ5p1NQJ
E/CprhbD2shBgJFLXhqnliqnvZpwz7sbN5MWE6IYfpQGtHI06vWM94mms2XVxsbMnHmvOhnfqFzU
dzTu1L2b0SDrRzAdM1b0FSo0a2Xhr1zypRO5Nis6Cr4gZ+tFz1vWoVYnRiDQIDGtLW7VVT9zTimy
WTa+TRjdJcKj8U5vBu1kxy3BybT7zK2rmQ2tqqqwtwSt2XTfEcmoXcfYfcWrNn6tXLN9HuxAvgD1
JjdMB6umfAXlJvOTMpMNqB3ye7Aj1TFChXnq9rKtXu1oDK8UYXascrFqj+Yw4mMty6JeR2MMCM2S
TePjzWwutWxINgY9wXbthezZUSDjGcA7SO6E3VmtS/wHzUTNkv23iAyHzpfhnFwiSURjHRBsfll4
Ge1ZglG160gzeWoZBSQLgMeQjd090oYx+IMw918F3N8p4KjkfOpjOvvdxfTzR/4ohOJVoj4lJVU/
4FMeBYf/2MJ1coFsqpmUW2H3URj4TyGUAsKfAjgHGzgVHhzboO/JFhX/pPAprA/nLp2EThNGoEnd
jGgEikfvz4p10AI6D0fnLDcqQosJoRAIlQhfGFjJlFa19Qo6TMBalaI5Dy7KYhK239jU2bz13BIF
8CVjTSUZUinHbEaidMfGQi8ddALkt8kGf0X88lxdpJHluHKbN31uDRetvizIq8mQg+XT93bacNuq
LHfOe6tWz8QlXNMZkoEvmMV8du5ym1meh/quDteVMYOHcedZnIOWjmmbeKLQ0dlDF593hmhQ2RWj
yGw/YTeorSQmJ9bLmnTHq0QL0i8NZY4Hlc1m5Deq7oTfNH1SnTlFEwUI1r1vGpXikktMzrwZvYyT
TEXNoliZU8HZuYzdJb7MeailHNaaVw7f495KrmY4d9uyw9AdN0s8S9IbI7ZIM9KAyJUajcM5zw5g
OKLvjrLrb4YyDWBXZew9l577nI3LTprlGcQcokL+CE5955iXsR3rZD5IAfZsMb2Yes6/ASN/3SVF
NPj6NOnrdkB7sLIqgjZX7HZJF7MCZ0Eu2v2+0Ob8qhOdYjrIcQs1E4l3s5yuPWVMLGNJ3WBHZwZZ
Bei59lGWxC+MB/saZkdvbnoy0i+jvHB3I97PPUZ4gUG6LW4jHNE7SLTlVTlb0u/HMCoJlWiNk2X3
xleNGinty9owL0sr7NYkJyJ3kFIe+ljMZ1lrT/067oipF0bRQWrsjdWgkQ5ugnHb49QaS1TG9fxd
m/Jq63Lm3nEkmw/AjjCy5YY8RKxrX3CMBRd0gMrzkoS/fGfN2nQ5drPTC4QmvdUaZCn++V8i26w+
OmFwrXC74615a0z3nlU0R7aZIaDuHGdKBpweKnjibY1Gu3E1gaNj1Q+oOGbIvuTBPL9VQP47o/7N
jIpyhLLjv3snv0Gi/bIofjy38XPX/uoN/fljf0yqUvxr6SkJRzInmgacsH9PqtL8l8QQoOskEFtL
EBvz7Z/dpbfpFt+ngy/0pwH0z0nW0v+FLZROgkkpUuA2/UeTrPXW8/ilIEc8sWmCg106Wcz8FFzf
T7I2dEsP80K/L0mGWhtRjFZ/Ljzfbttvk5M+udSfYcvM7aboRs9PE0chOpzSo8sBwtdb99bt3fQI
NS89jV123rsWsyq4cgP79YqCBYaOpPf8qbNGnBrFvLXMXF/jwCC10a29beVpmDmdjkAoz7iugh6s
VkS7N8HivBG1HFchGt8VQnxc++g1kP3W+jpJ1bc+8zCVxMSmVoD/HTt5crRKXzNRc5oRiJDKXjaH
qm++CTeq/NnuF7iqrW3yQN5rg36TmOKpb7i8Y5MxV5JBFrJ9hIMY+9IxrmGAEHpZ8H2camw3elN/
c0SCl3tpcw8aXw8hEUkpIKTXvSYPTeOCtmhbZDjcGiIfSQ3NTfrC6auRasAYHW5l6TZqrSPQXGU9
t8BKwzu+AreBdM48VmgImO5XPahpnzMb/rHAwCsegVCAclYR94Ypw6kd/ja1rlFFtZvlJxML0Grs
kRg6G4s5b+IWVJnZbuxWzNdhmV17U9ZvMsUl4Rki27VqPv5gGpuu5gOZlYOibQ7vUuXhY5OL5aws
XqeiLve12Ri+jXB1PaQT8CB4r89BpiFwaZBG6PgTzQJtn4LC6kckNWzZGLoUlXqssBTjbwNyOM5R
HwT+Gy2z4ohNVAV3z1RcdLDlwRXa7dsgYfuJd5FFdl1JxoGYzOu8d+nt697tgLsWmgd/kKd23XOW
8MMEqbLJar8VSafWZZiPR+nh0cf+zyhq+bfkilzESpDDWipjI1EC+k4A13c2GFhdlkPcsO0LxvPr
6KVLog0fPRviJ9OCqWvM/B+HCzDAQivWQ+sqsjpLfibnLjG9u2tDVvNJryHjNar59va8c3DBqx6r
nd8O0EHDiCEjvYZHX2NWAuaQHXXSWnjJGdXUqVZuxOh0JUOFGGvCdup2ussi/tdxkydY1jz/0cOg
VaWIlrld0pK3dD3aDUIh3i45BMfBzecTsnNoIlJ9k2Se+Q5dBF44BpPL2/h2Myga9fg6+acIh57y
cjA2gS7rI9IVe2MFDNosVUBUMaje5CqpfKMakHI0nF5MCFdbRH/GpiHzdp03FrcUVuhmCCN15ioi
UUJ6WOdmHcR+TS11k0peSuRz5/FAmDbtEkZZwV+OQ5GeXIMXla2CTmAD7iB8TtlG5z3Rsz6+7iP7
4u31Qpsy73UB8Ga0Mhcui4sBp8NhrOc8bivyyBSM9GI34ova9Gyz1n3qlv7bs0VlaVKSLeDDoygM
BUOAUDVYQgP35m2Uz+TBbUtaODusiOlmyjNv65gwLgaN4fw2AJYRzit+HVtzsSMLzoOQxvttzR4M
xeUxtx3nz7ZhGOFXJ3gkEcFjFdva3obO688a1yo6oe0Dz2T2suMnzGA8ApG+4qklMNLk7eHUHPs5
JWXfKIjW1puuOJexPl7Yo71zh+RJI/N1pcmhOA9SpJeYrmIf+qC2D23eU9IUBZrjyNtKh0FGcHRx
DiGaqxdMXzLJORYwOYgZk+1ocSbPwEBrI79MDD3bW9PxJaJ46oBsh2tDNYfBUaSQFOR5jXGu7/WS
so1GUj2nO8HkNvDoNJl6u6AzriPTc3czLOBd1TKZVFbf+3bN1w56PsLQCd4iSZQaZUX+oMT3c24y
PECLby8t2KYef7J2y++Orqjt6OvGtq6NKZl2DpjllY3nl2WH+JapHglNwoPmp6CfCNrWi3OqBeNF
J9NXWnfcGuqiMIy5xRhr0nWa8ys7wXO1CkLBKbejYHThLmeLaVNmWnAFp4cKWUlx3A3qV7oKK4lO
bPNWUQhj5hNLy+KtaJpnV9fsTbFE+pW1vM+XkL+UtD9tgPazxP+ZA/wnuElhAviGU/ja6SZ9Y6RD
qVMIe8sXzObvqZ0BsqW4aTkbqECosee5SZ6MpBzXmEU9tue6cWuHaUZG2FAlpylU3TEeCEmnmAH/
YxWElJZIUK+TVVTG7VUUWg7KUAxt2PvppPWJP6WtvhknjxwZLLgVOZJ1rdEO6B41BFYvtEmerVgv
u1VojukraZPaTOFGm2fKB95I3asgW9rLU9hBq0arqeInDe98QhULUayBxFi4wckbyllDw1kM6iKl
eicPhUdo875FRqt9m+jI+BGpcBnWE89sEVNmnLrqKa3jC7t3DJI6jSLQbgpC4ml5OLe/bMWufu5g
/lfR5VdlXLTq//zvpUH8YV9j0Uel0Sg5tXpL3MevioOMCK3ZKhtqHvGEMHSOXin3uUxB7m0HcJ1h
xVtnxYz0z6/74dC67KcsTr6cgeFBSlP/sJ/yaC1Rcqq6vRjeJjveQTMG1z0QkThW6evnV3vfmbZ/
Xo0wMfgiwtOh1r7/lnRMNCuei26fTQyQZSfgpYFGBiqop7cr/fcQ8DeHAEQ0LtWO//kUcF52uIMe
i/fWwp8/9afEzCWT4lcZ2X8OARRddKrEsFmQWv1xPvjTWggFxkAPRUIz5ljCLwES/1FpMfiFHqpV
TxoGOyzznx0CFq3ar+8KGV9AhymHoDQTyOc/KkziqRk61NrNwS4CnIBJookbPapnRLYxW846cZe4
Qak/KU0Gtyw1Ddr/IjhqNJCPqsFrITMpzokRKKjRsscw8K7nK+hk2q1LAstaRpUdwxtgjRMAQS9F
oXU/yEkT5yO5h/eWUbONzVnWQkoAJzhZ0Nows/R4sMzGFyG10V2ba/MecKfzpeMk8jcitA9vLXfA
At1jUeKCqwd0cPn7XzLUCBlowKhX1WFsaFU7uCx24cSRxGjb5XvxuX8ZIn8xO314b9+ux+KO+YTJ
SWJgeH89Q4NoGKZpdXjb52C0fgqBvcO+4R58fiUGyYdna0lzkXcsPCHBIfT9lebOETQVneww0HFZ
G0kyLfx9bUfrLf7SIyvaTUBCbz6/6F98PbBG5Kk4DCaUAsvf/3o7dUMNeQH+pCP/OV1pHRsTpRsS
9uxoN9Pqn1/NtshNYtpFSPhRshR67hAXeZIdhD7Y6alo8nk7Oo0YLjtOiJ9fSywz6i/ryvLkPMnb
yjy/SCQ/hqVCCWNrTq7EoY7GzPRNOhQ0qGsoJW4j4OhO0XjZNR1FKJX2+5k+WbXBnaf+8XfmsE5Q
pYV8hz8/5sVmgsS0vDMTnJopALZRTZD8wiC49ZyKDcfnX/r3MUTuO8ozw8V9iljowyrT1B5HSZIq
DpWY5+u3E2yr8QZXUZVGh0nFcDFkgTnnb677+zCydRY34QnkQhK90PthlIbJEIdOlRyKoe6Ri/M0
B7MbBlTdnHQ//44frgW7g98PE1VnUgXz91EbasXaIPoIukwsqOJi0pCgFfVmOgs5w9x9fq0P8+3b
tWxqNxbrt24tuOj3r0feOlqjMYbmaYalUQYyP2ax2Yv159ehgPTrWP15HUrx8Mfehqvx/jrEKKgG
TGF8CHRMxjQ4E74UEacG2YSm/SWKkRKsxgaeFPE4VYJbLA+jv0mn/DB2ls9Ad56JbimBOb/Vl8gJ
SeMaExw51IrqOH0+A3aQFp4Cc4IqjytprRxz+pv5/O0W/vKaLpdF+skXZwvIGvpRAduHTl/OgYwP
EYrGr6ij8iOCx+mioii9a8wKK12rlXTdh4lEED8Yuqnn4FOML8LJ6ua5wgp9xNgZ7MOlgYBoiD/m
RLv+/An91ee0ddZ2fOHIC2FZvX9EqW0Gwyw1bU+V0HmaqJI1+CIz5DFB5gwO1fGkkmh7NCk3GlEW
J8oqE0Z73CuHLi2tM68FsTXGrnnhaY6SW6dHqYWj35P97vPP+vuodZGmmDR4bHYkv7VjdA93hqI2
csg9HatQGrqQvQul2s3n1/n9TcSoyCOT0kCbIz+ujbFmcFNgGx1IYZ2vEYohLCrS0j6jYG9/+fxa
H6dzxgm7dEkWn0sKJersD/d/cpWtrDFhOsdJtg7doF/rGcV3cHXpFuxO6FfjMJ2JbpQPWl5Avynt
9m9u7JI9/dub6pr0uvAMsCng43zYD2RNpRm8GcFedpRbDjKDOIxvbzSrQwgj5pqej/70VlOI4y6n
IQJXPfRjAg3cFV4U+wxTVnD0um66QlwCJEXVSQV8gfzImKIZFZ8sorITQQK8mTMzeO2p1d67U4Y4
K2swNXl143yRNTG/Ru7aZz2CcVrqpKve4ABzvjhRpe9bdHznUWEtlvYq1m4pSczXUxiYaDxIm7nM
G719zNCSPsFYD0506CYc8WMRvOauZlfHIq9zHDl9FexnusBqm5DVQuSwbJY9AlljHJQhFT6iVxTP
HP3MO1hiBKmOQY+oWtEqfs361kK+2I5mtFFuEp2A9uYYIJlaRNPHT13E5A0uHhJdqbmGX+RsG33A
WPDch9gj3FpHaLcbLEp2a2x86sWVlJeKpJZImwecPaVIGG+8/WG6TUuPy1eIvK9dQzF36ggBHmZ8
eUDrvfAkl59VdsnHmGz4TnU8EEoq6QXdeqU5nVhnsvu6nobLt9sbOEO7MVAiXVdmHaXHEl0c4CYR
OubR0PPohDgl7zb1HCXVhmMmsxVygzPIS8xQSCi170WZMiLxnwsdwamY92gzuXeT7eIwbHQ9urVQ
/X/tcItpmOT14go4vSQZ1+L3DKA1TvDP8CmC/HmipgpsKWiaKdx5s5eRqGWzKCShad65RQ9+VDO4
t7lpxE8ZCR0UQUrrMbFRq654aTLkBXEOyAPdbuu3KYgBva/Hy3iihbWWloi/Z07L1AQQ4l5M4H83
5jIO86Ek7a5LhtCfIreN1/Mo2MCInMQtTJ6MJZm38ykcpoxaB0evadWqfr6Gio1Nj3Q2te6QJOEO
5AsolJbDHPiKAYYWJaoeoyHU9+XoMnox7I1XDYjLct9FnBgcu9RunWhJVddDazqFWpYcUzfbeDOM
MzrDoCK1rN62iRT7EG7SpkbW5U9a2VyjJooPutsUZ0NIUxhuTww4GeyuMIv52NW6s0dBHNyGrdyU
Vpc+1g5VTvR7ADwCW16CZ0aiNdMNxt+80+PEfHBdXrvKynd6ObUrVDHmmrIc0i/OfL6g3bsFDpz7
VlNkqc9dNe69uCcXoZiOifC2UYRGZOii8kiKBKhpDUMgthYPnyNfK0vdxo9SqkhTj73NWGAErW09
NFKZpzCPL5uxpaLc43LuJxf5nmfgma3jO4rjaJZVZZxlyEj0LrX9qi2GXerhVU5nAakBIiPdUpy1
sRfdIBZ+AmXyWIEt2CRY8NeTYyHvwVt+0HT3W+0oatS9WWXIJV1WNbRZ3xctNQAx4sqMmGgoONWp
5dz2fXBGCl34raWHvomsaTxGWc4EbC17pNyYLpzYNE9wyOprolUUsAZqfPPsnKeSvgHUmDyRygNZ
UoO0/lHrabWfRJkA6wyWoCj4bMlRULcTqwBC6HkHDdUgGccy6Z5Oxnxnz5a5RQUWdJu2N7yzVoj6
ko2SFa0Hh/kilXp2R1ZpeNcZ+vBlKm32D6VaAhewb06nFEHzhug2ubXS1n1J8rjBXOuMhwi7Ahdl
F31qQv3GtYfhRg7TBASz6zbL+mPTdar6yI+rOr9SREn4kjctO1gaQo2VkaIsbyb2IikVcLArjiLG
RsZMRQU5elbAiiBDT+6rhKMPPet0nbPN23qzbu06bLqV30A/vFR6e48Ut16LIV7CvGaIh2FWkoLX
YrVItnZi5GdapdJtkaT2FRloauvILvzaJuFwZsIQbeNgOCZDp7c4LQfvO8BRwv7swlBLu6pBKuo1
0dGs2beD7HHVfu5zBmbC3oEjQqaBnmvkJp+ab0Xp2lvkUf0DAA/3tbVG1HhOIYxbI7fl13Ggxr7T
bexIE0S1VVB27MeKsd5X2LQuRq1GYE9kCJHX9GO0tpZ7TtDe3kPGhhBVdM2Pil7OhgbGdKxbolSw
i5880kpIYSQ+0bLxnMJ/kQiqMu86C+ogWhGyZ3L4TyKLMkWDfhynMGCPzDvyUL0vo92R2xYFi6JJ
6y2Evbq6lq1G1YBgwLVb1gYRZwwBh9zZ1RSE9m6QWrZ13LbfDG5sQSxQ5VXYKnOVByI5BEltnLiD
8drMe7/uA7HrbZuB7RUnUkxhAOSegQg8s/c2RtdzL8Sq21Sz/SWwa7FGPFfuMh3wRDYr97HD5+8z
0dR+r4YY6W1bokZOA9vdRXBpM9p9VONBH4T3hT6aF53ulpf6HLDthyCCeFRpCZSZVCstoLx9tsvS
Qj7Y2PVv+Wrh2QiEv1wHgZUdYDVOP1qO4+etOXSoYbSR8nTl9Qp5X8GaDsSl8ckttC84sS+mdHQV
QS/KY4aSmbcLcfOQ5NlV5djtpavGcW/WCiljjNA3JyrzMOAMoesWuGclGrFT0iHwsMI+f1oMyM4m
rbz6qxXa9dZxaBt5dh7TXqTRcNC6glpSkjX3UlXfc341yL/SysDsz0bmK+AUj+SBJgOTANLmsFps
764AJVCDbVhbYEjwO01QDspkwxOPN2luPA8a1M24q+DG2J6J8jUMp5P0uvJJiqI/zmOirV2PNRDK
BSRIe0KZ7KbtldB79ZQ0KXP2T9pb4DUp7Lf+Jwmu/cmFw/npAvq3ijF6jbSp9ttYQaMPLVjHgdlq
rzVhPKfRroyLeLC7Oy0M+ierid2HsIPruSoKT8vWoz67NssejSyZ+1REij1C5eloGPAuN7nTfwW+
D1iJGHS6INBJkWrTS4uHVPjsosKLyZjkmiwMqhpGHRzsMhtNPlU77q0i0U/WgH4RQBNrRmlM4AOy
rgMHxOQUAfVJoFuJAGyroBvWrVvLKJnOpjn84ppEaPojgIEDniaWEUF1iHGZeQtJadZugZTqWy8t
eW4sCjtTr9pjBen/ueJsxAmDllyh5dyFxo2/B8YylKko6fQ7K4P+p9GMe0c3cXVgOHjUjEp7Rcg5
nBNTGd7aBaxNIsvEDvOHdwcdCZ9IZzffyRGJ2U7qno9e/Y6NMf7wwNFXUVrfOCacBPpl08z0GmQB
gyq/h/lIvqqr3ch+ROUuCwBk0t0i6FmSONr/y96Z7caNbGv6VfoFWIjgzEbjXOSslFKzbFk3hCzJ
nKfgFOTT90fZhWOr+thd9xvY2IarSspMJhmxYq3///5pbWeiWGmKE3ip4B0w6ULQ5oyNpQBSSKCT
r1luxuXa4JzMRL+r2CqjA8Imc9e74xvi4GDPWd5eN8hkd8B3vDWJO0ezLRy8E4NcFc4CDQkQW/um
ARiC21mkWp5j1wBnKp/nml8cV72/NyeiT4g9yvd2l+i7xjXh45OLdIKj8Q2NBFmkRA8tphrzCNJR
bFu6WVAcp5ygBtoDph5AtNSq3+MRE7A1ZbDijM+uQyF0tHuoIUwYm10xdu2F6HR6kUm9zwAdrSBI
4ceYtIvoS1+NWBpXsa3dg6OIxxRM8zmaALDtgSyYlILXWrYCgmKKhqprYbQY1bY2qnkvXYQdRRM8
KZJxd2qq3fOupncwR+IsHdub3jKeE9feVWFMpgMw77Jo4Tk0X8Zivuqz8NhV7kOtwhNLLg2jPOnO
CSv/ljbRJ5yWt8S+7Yk3Zjyb5s+BSNCcZTQpvS74ii26Xc9q0YQZ0nmoSFfaisr8qgNJYQWBiJRc
Exu/QhVril3a1+c6xtHRR+5LMTAyMwu62ivH4EQQjX3/ebbmFw0M3SW6Zdd4ObS8KZiizwJJ18xc
zM+OSDsGIMDk7VaJtZfzdmiSRz3o9tB38YXTPAh/6O8b9DLbuE2AKkfxwRth5qlm6B8NU/lbTZoL
vqhRXfS9Mg4EdS6P+SSOjpV4j25rl/ukaFx/08ajOksal/bomC7HCdgEel+NpPOi0CbxeZbwQEDT
GWoX45slfiF4FS4pJ0ejzmnogA9pfbE3B3O0zju/wGawamJAaLmplt9nNhnwIprO5MgwEO/OoqLj
jvbGrFYrupp22q1EmssdUF+kxxn10MGzeg9ITd95yaYFRk+u56KPcLHwXsQZo2QFg++LH2XhN1w+
PIC8KiMGhyRTRSnCQWoD+oFjUcRt32/gheX0mZaZBrLk8Av0CWMbLspu5N/OeZrMpASxx33ym3A6
wfDllJx4BnD6xhWXqQEAbtsFE8eO3mNZGlsyA0u5nE5kooe3dDbHq9Sd5IWQiAhkBCk2zsbwS1QY
NLkj25O3+O26resoTiLRPIivJDu4zqmLh+XIG3TwTWL8qp8BYFE65IYr9rW01Bm1Pb/acImqjfFy
LQapaN55EjeYQOf95JI3sUkU5d+K0S4D83mNJqY8K+soXZOOqM5M1A1rCOfh0YodmgJoSU9+79Ej
WCY176/3riyaiII9C12LmU0GFF54dvH4/p8EfmHeCpdjf+WlwR5n5Iz7Jquf26LjDKaVSZfAt8ar
EQIXNC+xzHrm0r1j9jidkJc6aMS7ZvfeKK5zVGOmrpBv4IhCnJUQ25EkQAOBzUNgicfs6IJO3LuF
035moM0HSFJ+I+vIfNPSeLl2klw+Fr3gWy+xL5HsrdWZckp9nWnqXVQWBAlnPQwgMjO7tRZ8Lrug
F147HPuIlakBNU1pAx2l5mzf92jjUYqEY7ZKcPFhoeLZ4KjN6USgHK7swYH2FYqi4P4Xs3EBd7p+
pvmHXT1L6Sj683mgVGuukBZ0CSDXsMPsEs3VrsvG0b7IGzhSWDmdc0yTTMhmh+ZVOGfH9/vOSBDB
YepeGPhd/ilX+XwTdy2yrUEby/uL6/CbgeuUpgjHrJu8X65J3jNlk/yV70qTzTZw2WhSrm2JAAnh
CPEySyuuRWF38iYwS3M+Ig6BlwLzmTugsxfSIEw2fmGeuneRGRjbIEbkgfC13XQeYiZNyMljIfiR
rLTV2bsEpK46rpYErTgR7e2R/MwvgpSlSD9uRkM8xtIh2y/rEIQkLfd9bFBeS48+6+a98SQNM/w2
S5umUsrdZM28ZKqN6plWYklYQ2kOD52JajdgYn4c4rB6DmOhrydCeuEwxTzCttUzmwTvRTiArJ4z
sO9nQaMNjJS4PgQJ6nkobzkc8AlL06X9FUZRRgUcjuU+KBPzgnOL+tyBQALRJfLs2FdcJqztJqAs
tBvvD6zZZoQfzUX9DEaYl9Z9OxzzbgrPOlquxar3wULDbV9Hgo5c1/Bz5Gtn5yy+X3unRe0gE44e
Xf1SQgVZBwzz9u1AKDXaq3LfdSEPu+YJDPspoGNRBvtOIaBaUEUnixb4qS5AxKkRrPN6dmd5nkem
vMKPGB6dnATp1eJxxwHHcrgXlkPzg7Gov3GWu2BEIH/h1A4tBbT9uP7gshKgHvTcJd4svhI7VT8z
ijSqNbNYnulKOSDQOJ3uesH6GNhcqchFhgN+KPzmgT8iqbxb7kG1mFcI2wmPSWSSs+1b03wwFoUg
9CWOfQD/hjff5Zy85oChH9sq0U96gcKvWgpyRSu1jrbItEx2xjptLmQ7lJfEbPf3iRj9Vzxl4bek
0sFxcOJ8WpFMNl7ZydjsYOIT+xOU3AFD0IRfUtchPbxVloKnU9Hg3uR1AmvyvSX8H6HDH4QOy4yY
AdL/LHQgHan7IHP48TM/ZA5MzVAsLPMmE1UzETnoJv7OFZQuOodFqkDBx05i0gD/W+tMIjNDN6TH
Lj14fBb0vn/IHGz7L7wMDobPdw7EvzSU2NavUAln4RYjsuB/pApyovo4FKrnKoMqMcVXXk1SG2kI
5MBB6zUdJGtuNh28KrPKXZ8h2SQ6wKpPkUkfNU8IRUNCByrYow+KVBNtBE2duaGEJizHfZkp2LcF
rE5sYEU9XVRNpvLPyWw3WH5n8ZpakQ5WEpRavxKQH6ZNYdB72yfAQx48TNPmWdsEw3DUVqLGkyJS
Zxt3Gd0lYk2nVYYO+1RDO1nLPkSJMRkXop9qUo1pPa1lWs7QFyf1hH9XbU0zpm00aDERs+DLN2jo
PVY3K7J3AKliFJ9j6RBU78bJKR+q8azPe+9gKFbYoSpSBF9JqW+GxtiblKuc9AJgrNraYxTvyNeJ
lpnZNM3pZ+20qCR7q970k76IA5moQzpLJSU6Yao+5Jo5vY2VZymn4zSEchg/qaK0xuUyyxXfPFdZ
zL28TszEOXLybq9b+jXu+YhU/YUrMp1TyqShup/xS551Ci8OmCAVaRLdlaR5Orpkvyof8t0Wb/t4
qkjMIrzs4GENl6LcubNfkA9HrErcWQdIZTHdBICt9dB753OvcaDPawhz0tTbEc5Sigs6iBSr9Jks
MhkM5/kYkErDlFS6gZ+dUUZi19/UJr3UAdkFqICJurcJDP1KRFidfgtS2ULVFtTGl2bZOoW882j2
7Nwu8SpE2XjjHnG/AQnF2z9cjKhAjm7Z11wolYXxesr79Cyxg5JYixzDp6w4fSQs5iEF5lWLinsl
kiTlttSE+MBXJd2FUO6jT47HNooE9RBjoT2HclIfamhvbk8sW2jkVI305so1xUl09P3Ow9tkcbXX
ZuqHB9Jg2Itya3LOCi3Uju5b+1yZdf5ido20OJ7D1QeTNsdwDSm6iRRIFwF8GwC2tCD321aUH2l5
ppJuQf8UIxbsAFnazjUWnsRZEdYTPUXKJqwktbGZ48fdD5Zdbjxe7pS7Vs2xR+qbsurknqLQT69s
CXetaPyRsGFTsNHKCF/2aLbDxs/c8mwYhXOZdJCHV4AU7AvXT+djGc4Cyb0gqbuPn3mPkGkFEZPg
h8jTbGmN9rZ7wUywfYx1Fj5hvA12Ffkk+zrlwEZmKOkK0qsfIMleOqXn3Cx3NiG6KOrgmpRbt5En
XJ7TCnNXt/at2sH9U5uKK1CLbxWjjqsK0sZjVCfzuWrs8aIasvzQ5i49wcSN9mk6ZPsQ1MkqbOr2
1Ryzdl+7KriLbByrDLTNCz/zPs2mYPNPgVsYIS3ueXAu6qQxDmnajp+dphrjVZrpEaOrZX4pnMWZ
2U9zFYHeE9YtYiecS+BTvxmeHxcMaPp4l80pOQhd/oKUBsF6EqJ+NMjKDIBkuvZdvVhBmT8M1Yv9
3jtJiatcVZlyvnZFhWM1aFt+R030k5+bYMdrmDz9gLRIuNUx002x9kn62IYk2+2sMvIPWLJC4KlI
idG963TXOREtSK8nH0piDr7vYrXQE4fsvtXNDbd1deub00UwAqR2sjCgzohrAvusxjv6GDWCVYAQ
/FW7ZXwd5H5yINa4fEUsHWxyARtlVRdCuNupssVqEpLTTXpLIeSfobrWwDIm504aVV2sMBGah6C3
wjUQxQdfpHIzaSfyUNMjT03zgZW9F9YTdotxVcS9gXhCUuZytnC+kOoabCzq7luqFkSknho/Z3EL
WdhKq5OZ1xmQDE+/ILIetoNpdYi9R2OdOc28BbLV0ooyrUfglsXVLJPgatD+fD2VEDLR8HbXplL1
eYg/5c6TCo9x26iMwxRTzW2LnfGZJFS1saG/3nKGgJgwjbG1jtPeWNmyi75pOiSHcqB1a5kd8IWZ
WwvYJn3vmKRpdL5RPG5KTqNn/rj4D/3BPZkNfA6eSFD3kTQfYEXWkLqc+FiRw3LdkBay6VD7c2WD
eHpDL9jdOeTkpGtG1vGmhYnbrGLZFsS2Ne5KSoY/s0LMsEbZ91YUibWVugpWlmNWJw2MYg2ZRV3M
ZTXe5Jy6acEGp2YwHcARE17zM8s1slMsJJMKs0mfYLma92mb1yev9qc7QR9bY52Ig1s70DQ9/E6f
VTpM7FUVginH2S+uOHdnn4ugaj6j01fXJVTXT3UWJue9bqDwjv78IJU9UZhWUFrVMG3DCUMpEkYw
EjaftiLC1xTdGT5tDgOR1z8g5sPtnNgt0d+JU+IaQgPeiFhcY9COrK1HXsMRoa/drYsM0QD0kYLR
nZLm1q9si+vYjY+29pyVMwD2mDRhr+u0CefjAt9+Mfn9xroKCTWgyzau3VQEn/Gptwdhz2z0PnEP
jF6jNtnBYXXxCNT1fegNtBkNR2EjjFAP2qR76oseNcOurW0gJf8pjv9/QJM+LuTf1cabt/x5fFZv
P/sAv//M3z5AZ6l/GSUCwEIJ9W72+1Ebew4WQeCSvhtI5KAmepi/FcDBXwjY8QgGsNjYXBbz4I/S
2PL/QlJFK9JFYgmSUVj/ymsdUJr/KhWjOJbIJ4VEBPP/0CGlOKPkHDSHyZ3ixy7tynrjsiH0IA2I
TdOegjpTg6cH9T2Pa7D2+PA8kPOhqAH7JiXOM2uWjyHyFHohZUZOQCDGN43UbfH4pBzGIbUu61vp
G1A0+vzJNhSCfCQMxABDNpgsEW2VDjAGcxGTQ4gz6y7tsL1oMtIu89ShzPB73GMQjUJ7HaYkMrtS
sKNXWHwMeoDkB8HzJ8pJneuGdq5bWMwKtJPuMe3S37GUW595cxKeVYbqbskBsY/4r59SrzEek7zA
hYJ1GrCvLvcgiqJtvdgUa7+tr2bNZlno9mbwo1fHgBFUhnxSGZs3KP6zXRAQw40KxFileAD3Isq+
1cpaUET0+jalwEDpUBHskDrXu2bm1XEU37iWphvmdSfgL9aqN7EaSf8+HPqTDANCn3V5B1oWmTRW
EKLfSoYXYJf5v+KimooL268fQ5qr61l2+oiL6gmb3dmSKLbKiUFE6vDUoPyDJlTdMaKavwB5EZva
iiFHsY1w9udsnySku3nBvbagiHupy2jGXd5CA+SEX02jxdp7syeugGYbu27IqruoDfJPFWK1T1LT
P3z3/4Hnt3YuIWUrLJBsB6L41s71tXDt+RDaxrGzp+a5sqW6r4NuoHoKIemgC2AyagLWGZ0DRyz2
eqdrrqYhVo925t+7bVLtKw0qTrYTqU1h5m1nL5CHgE42BbL/gH3faKi9xgfm4NHRLjiRYVRqixs4
+P2LIRpVrr1GWDcwFK1L4lpgDY1mzMCyQuK+zePyzjKk3loKh/3GrKzbNu+CXeuH5cayYhdqm8uo
LBmSTZyTHD0UmiQIhOkElEW1lHSZJ5jC0kGwxV5aXZpS9+dRZHRkiivDeQBak5zbhSuebD74pp1o
GVInm8nG4Vqy6fsqVCtLT+J8hGjfnVWpYItw0m6iDejMaLVVVYXfpsAbT7TYAXdEJYa1nNwuRQsS
hUSRyu/CuP90Qf7QBbEssSzA/3MX5P4N03fbvv2y1P/4qb/tHvIvF0wk2nDc2/yyv2nC4i9LOsg4
cYF7VPE+O8rfC737F8CMha5hClsKBJb/vdDb+L0tooXxgWP6/pc0YbT/HxZ6H62pS69A0AgBuftR
LO9NyjLi0SnPjCFr4cUT+xelA7ORkRDYrkD9uWL/MscLmp7TumibaUO1xQoQhd6hKexkFTphW2zZ
tQBMNeh2dCayrZsIcgIi0BHrUZHqHbn6Ebxs02wmy7GeA7Lezsxa5Os+cEZG7ZG95ST82pd1dzZY
bbR3yHzYuOSDAM7JCPCcu34/DUAIl82xIq0FLYoTc8TISz/LCf6uHu268Z9L1RZnoLTmnUhoZrae
h/GXoKSBcOIrSTLkoZyS/N6MLQgUQ2t30coy3Yq2dd8wwjLmIy3kIN5Eput+JXa+jle6IBJqVZBJ
fqrU1D1kaedf6HQWt4gzzU2Zezek5wQnkRJB6hdR9ERRv2SnLoJ/D5QSimcOd6lQe+WF5WFMiKZT
1nRT1RUu8dKkMWGgdpn7gf7uwtUps41T6eza8EMq8pCDDKlYZCZHbbXqs8a5U8vJc2xssRazbV8E
NFbOembnhxDq5dHOYuOYt2W9zajk1zAfZyCRojqhG/DibcOGS59r7O/pCNhbEx/QRcTuurdrWbAh
0bkVczvf1IPZnrwEOFTWm/euLvTLlPXuluxBtDFe1t7MGcFF4+SiaekxLBq1nm5tAqG+9oDw6nJ6
Av7R7mVtpYeeRMu9xRr8CQM37P80dF/Bd2bTqZ/M9BQ5BdWAX3PgZHcvtn6Rg9tgtALIS6kdE+tk
wwmOyhmg3SryASUqUItfkeCN36JxCnYE2Gp/3YQFURjMpm/saWzziymtH2Livh4Iy5yeDcoDmhSz
I07oS4dz3yDLpSoEXzLitZrtHXueS2DIJp4z/xhS/V9ZcqhO+SgfYg1ihiAIuzlAEcludIWJ0i+t
4QqSVAAXLMFHXkMCUetEGoV36A2yHrFgclYH72cT3kWLaTySDrJLmXIEK/Az1i62a39tYjKIV01l
FoepR4VV0tmnPwYtkgaN2cPdHVHQkV4IEbGVBQGZJpQUw3AOgcNoP+7L5qRc8xl+qxdeNFau4/Na
5p/dRHm3ReXscc5K46xNejs093lnpRkIewSfwQvBAk2yJWB2vpoZMF+3PdXEC/2mcL6gc7Mq/a5/
cGptXSu/j8GpkfN8b4dtuoWtJrdRXgbHsfJM5gNYX6ZNHbv1ba0NlJjoPYboUNvQ/x7MfLQzTfpQ
VnbxpnS9yjvSDvNbY1OgM6Oa8FyuezHU824RTLnEY0Sh+DLHzditRW1El83kFd5nQS+3UchsJ3lT
6qAPX8mHJX4xmUlXEQHnTkRyW9ETx2SETkbuUAERKFA2wQx6yGGHYt9Kv9JFmYyDXw4ChiMxaAYk
hp5u0NAjyFmRn9nbJ0Jggk/FVDvPmfQoFysxyehMIoEgN7oZ9XVJ1+x1sq0u25uhHghlnRrktQOd
CShfMgxBrDkZLznnkYIbqoW8B4CJjJN0Z4zBYqyTPWsfr/idqGkGLeLXIkIQSnBCUFZXnj+ZlYvo
DSVRd55RFwmmeIPBCVR7EXyX0r3Sg6t3jj3yVwzz6YpZKAFGLrKle4Z+5rkiwFStskqR+zsTLbdP
bcs94c5lrJkEPPea4Y+T5RxUzd5CAidNUp29wd9XNGSuEdhcENUlvZWSToVFz4nPw7oGHzR2dox5
GrMJMm60ihuseHAgUtc8+p7aOwbHAJ7VlPUrcpOtiirL2CFUpJWRk4SLYnZGazQ6xso1yvIS+TcN
n8FzLzu3Gb44aWhOkBODcxJTMWk3Sm6yJXG2U4g+MUovQbTFkknbTM1X9qgl8dx2d+OSXEt9Roit
KcizjWYZ7jRxXw/OknZrL7m3YknAxSHdXlVLKm5uIIwYShG+wMtwmDWC3PPc6IylMzwU/KrHzJMo
EYrA/zLIhuDdLiSDF02mPqcWnk82p7JV1OhsU49T+hRDpzzSlENVSaRvt2T76m6J+e1AW6J/pNO5
TZccYDegQbZM8Np8wRriHD+b3IH4LVXOe2co8KWncoQnStzSGtIPswo8DOmGnrR/nlgs8Sh1nQ1H
C6wrvP6dxvi+Mpf04ohezDXqVBogS7axjeqLoXqwMGczoo8lXXCWxtl+tGi+sBc6pCQP0D5PgC/l
G8ODaucgQtrSvJcHt22szzSw6q25pC7XS/5ySsNhi9Qpv8wE6cz9ktPcq05dO44MLrA5luRul2iB
4MjtGyseLnFtzGvHzN0DTZSnZkmCBicbf0bNKS7DUILOTVuXSmAJj+4ZGa6rgkTpVseESyc8+dcO
GNx9YLrq2SeEulmIIUQ7djeqdYiotpe06iJog5tsSbCWS5b12EZo9tGZQZWoxFksos/hkn0tS6Rn
eekRimhMJGO/h2QLaTxiUBBbW0X1yUkScW69x2qz+zcL2ZbgKxkTu61l92CYPbBgyJBtCyRPb4Ml
qbsdtIuGDCPbeg78BSAbmWgJ4R147kpkrgTHzHPvzxak/Z6BL3avxHk2FyqxtgkmW3kiha2rFBJr
niqO396dpVI/YstDqR3F963LsOe78eg/9f2f6nuX4eTv6vvPE+mSZfRzI4fqe/mZn6ecDoh8homm
IGiApsyPCh9zKJg8CnWQSj9q/7+HnLR/JLNRgE5kXaCn/WnICdBp4aMhfIIWgE/3X+XGfjBpwTJ2
hARVj73QBuJncfz42Xkb9qNMnLAZL/viNcKZGudff7oa1//kKvDBf24U/eMFPngXlbaA5mhewKdT
EPvIIoJnxORJAPvn9fcv9dEVxVnDh8aBadlijbMxvP76YSYmc7gQbHlKnRxCPQBnw7QE/aHAN6mK
n9pUR/5LXIV+J/YkMbfGvK5yZ0rKo7BEExWvVVP5XnQV9XaM73NPpprYA5Tt3xKsZ0lx0X+fKYpl
vph/nzX6zI7OXTrr4f3UdDvO6c6x7VJ5nTYVA8uJVY+4R2QrqDvfR5vm4BpjuxqB3nUb8B5Ye+4a
mkeDWmOFgNAOe8jHaJm4k9kCwjGPCqT5w6TzHlVQQ17cPEz5uGPbya3i3COre+Nod76EsOWMTwa2
+lVmsBSsgNcpRKeObV3ZBuCh87QLCKkcUfbY5dYaojAwCFnkvKLDvQfevd2/fyP/WTW+rxovFeJw
Nd2+RUn1S2IQz9JPt+4/QHAPZdK9vf6vu+65e2t/Xjnef+7HuuFCx/Qsi87AcpxfOr1/rxssIX/x
vAaogoC6fVdA/Fg3wMfhL/GQ/9AuWBoTP9q/0v8rsEy2VSz90K891qf/+j8v+n9Hb+AM8yki8+jD
339mpVi/NgWWV5QmnAm5rGqsTf+wH8pUkRCdOW8+g/s+2Jq1DauLKnxI5k+O09fZM81ap92VzdRO
9ga9FhjZNc8I0qJS2fB4K1Nn3jGIHdSXWWCUzWEMirw95U5RGxNTROTrXx3EVrraGK6bI6iMMLbL
N4+DWn8L0NbLn1kO6vDFKqzGvaSAbGi+EiDQ8lbs2lHFVYxOf6TPkDsqq1cVwa0FUrOp4S2j+8Tj
ZkI/Sr8Z7YCTa/3TV/rHhY9Yb2y6LEPuYirmqn80o3ucwvrYjf23cKzwCx4Ip81tQJBDqzz8jFGH
rJcsoRxVuQgTM9z9/uWXXv9PCy+vT8iUZ5k2pS/fFG/m18VwTi2/ZUtKXlOZWRlwsYrGCl2HwDSa
dIeHM0KQrOIuokQ3bGOuy+vRtiYAdagG3dE6dpgI2mxV0WlW8jJwfOjvf7hGy+L/365rmxEFSzVz
DDQ2mGi4LX99jzrGvBvTYHp1DTUIk+BIL/KaXe7bHSarUnWuCwFJIAn+/cX5dVN6f12GKxjjHGGy
+3583bonk6IyLP+VVMOcSI1B1Dnzfc6+JfPwNOmTqzKMu65bxXFlmu7q9y//q89+eXlvweLSWrM5
jPIM/fqxI2dIDKFj65UZBNQ1UkEZEz/zIBk0c+fEyy8TQ1byZGXN1N9lrQAyv2pBLXJRfv9Olu39
ly8AMbZNS8Qnq4yr8ZF6BNNIpFNWhi9k/JWO2ldNXYTT1giLNpjY+ZTmW/n9S/7zw/uwa2zmV4i4
yMj5sEnTYArzdBLq1XZHnvLdhHpcZjtHjX1rbxM/tN0n1XPVif52Pc994lQ9MJIekkrU4x9uBPlh
JfOEExAr8/6gWiynH/3cUTCnnGs642tMJ6QwDhoMPA9Eoau4rYgZTe15sW+2E2pEzVGKdwXANu7v
itpNiQkwOIjdBUVcqHLTOJUyb9mWy/br76/ZYuf++WsCuANhYkE/wJrgaVmquJ/4KP0Y+ko0s/4K
fEFxE+CzFFwsoUeLszFdosG4qylxloemG6vlj6SO+n97sSSdXNulYlqqVZul7de34Tdm202tW30t
c47uJHGyes3jinCIbnLOrdBh3W8jGiTPReqQ1IOLsKAlcPCNlO4xmn9W22Xln2J+qgR7P5C2ktW0
O35/uRby9IfrxUXCFoMznm8YmsWvb1RbY1kHZDd+bUPTNYpt2rV13l83c5fU5XqkHcCbM7xi4N9V
EzCWCYXQPFEaEQJ/1gYKjjTWOGC850VM+Ua4BTPQsFv3wKLzW07J0Vys6TxolkTTSCdJBYknmt+a
4Xgktf4PH+hXJSIrFYMwZsAuXXjHddhVfv1A3JllM+CEf/Kcyknx2MLk5lYMwz4IsBxChGBpD6fv
qydiMf5d/76c1Fji+Fd67Cy32UEf/PMD/YG7vbw5+rI8SMjeOLD847bIdNYWYVzVT7XiKWq2Vpv5
9smUsTWRqYZeqKH1N+TzpyLW0+QhWFcj5h4W/NG9jZo5xH1SIOf7pIy+dS/p+i4FgrYHCIt7wgyX
r6dqrYBbaBo8Z7itVZrNn+bczZDkixxGvMn0GDwf+b5lgBgMtrWiEvGZKPDdWQgr+ANlZcR5vHZa
692munx3GYkTFBjMKXj5wI+MiZFxpVN+RUXxwDtPjHKpDbqaBvSzRnXf1LtgUHK4sy0otxecw5nG
5XmhzAIuYVjoAzk9Y/Sl9MvQ/jQIUKAFUo+IOmNoyooS5ff3xsclnKvvIT+T9KwRBQA///XWsIjB
jiQ06qdZFi3aDm0KD3XgWMH0P7P6ZmSh+P0rflyNAKXYAgLGUpWyd398xVbhnB8La/xizf1yM469
vSx/C/GAzdsdGsd9ClNr5iYcaYG00eld4qD+8JQv5ewvTzkdX6AtbFzOO4/4H6gqi5kzrp/iU0FG
YAdXs+od461q4obVKCaRQJKs6lXJ9dD6mH1XdexU0ZZ+ozlUK3AiI9rIzowaTlW+e6ctxsMkNI/S
HW7p+Qm4pASLVefcRALtnLBDGrVwyOXysMcQcm4rAEC+hS0365YnfwCIcGWy3y955Qxw9J+IKh/X
NfoEcAIZLJnLmcDiTPDrd525YQzaqPUehh5xT7B1lDIpYgcg4SgqKbLsQyxHpmgreBMWf0Tde2Vr
AEVangowCmZ4F2p3uaXNJpkLdUCLaC1LZDO3Qu4aKMOETczORILUJhyLpaaWE7hYEmhkw2P0+3tp
iRz4+UskC5EMT44miJ/QzPyDbNZYZTFXjDse/C62eLbgTSxvoDOsfnl0359jEx0V7w2Hz/KIs1Yu
S4qq0bk94/egjJfaWf4ROuo2e8Yn6tmHhMQI/hEwjcq9DBvNf5XE1vIRpwjg8y4zPIYrNRw3q0US
V9Z83D98tA9VJh8tWEB5kkeFMATqvV+/rU4zFcj7anqwomFZqTrVcGvNBE5VL53wM8yoEzqO+RPm
wmV/LIxK8oVot8ijaTsXLvK8XWAZ/fhAlaq4HKMHgro8WsPMalImRsAtZo95vaxuPcvmIYHAy7LW
UZHwgmhdBX/jjCW5FEVkcylQj8dGt3aQDfNIxKQM8Lfv12dZCrPn31+ED88obm2L6gpuOe3cAGLb
h9VJjjPhj25j3A8FEx1kie/lLfRPPWRrTpZx9ENy9sth9efDqbn8yp+KpeUlCQqEHMW2hFrk48FL
pIj6AHB7920vuUO6qeu4odj7uT52WtuVg6YdlhOTPPTLXPB8IITtuWDR4yqNSufdteei50h3YWf7
LAY8kMOtyiv+K10YPPidLtmofnxtiIxLLqXOCR6C3t1iRw5XEVJbLr2RJpI/gikNhltRITZJ9k4G
2eNT5nbLOfX3V5uG3T8+/LIJsEhIidzrHycqysEW8rme7uOYsSsQjz6zQNzCg00vXQinato2Maom
fxWYZsCcViliCI4i7y3tIIeNG+Nc4Uq0T6iVPGvdjJWOXkSSi8MYooQGalFW+aud5rNicOgW6nmE
2IIDZwBROG/8tAwcsCXUjy16ltHxh0ucvCETEbhDBcBnoWSwKVHSy3Wqu16FK/ArzQydFoiMrdeo
9QcehmFWIF1WQARSSBOkj/T2nYu7yo7WQst+xGqM7FcuERdh1J11sUdltvZwsc0zx1puRTAL2RT2
q6atU3c3BF5kbZwCZMr96JKN86m3SZjdWEQqyPXE+bSCJxF1bbAJEjTW68jJowPsx452nBjnc/RV
QuzliIJrBy/Vj8W2zqrCfpiQtmbGQ1AJre91p63uZBDfZtyyY3j9q6NcVzG5Ibe3AoxfEZB1E+g5
XzTddDd2aN79gpCkrLJwXXtqbhv/qyxSv3yNzbpadMhuNzVvQd+NI0yVfGxleujCsnEWj6Rwcncf
FkbmXjKBM7JsP7h0NvP4LWb23HGVNZHUyj6RZD5wS89StXV8g9ijc8W2LG0GdWd9ECZxflE6Omui
bTpE3YjVwAmjJNmFdjH2zm1YmlaDJdmOI3/HveKizoNiQob7Om/9BJAMaFm36TZxqOZ0Ohuj1oiT
/QgT2a3WWTDaLLBDnfTO4/9l70y24za2bfsvtw8PVIGicRsPicxksi5EmlIHg5Rk1EAggED19W9C
pN+R5HPl59O+bpg2i0QViNix99pztYb2RH9icEwGgmqHsMW61pKoC1b+4gSzd1Nhoc2X4e2bRp7T
V4Eyjryvokmgd7vXVZMzHc8LjxZi+wzYEY0WdLCIUvvHuSmsuqKzbdzWRVMYOZeTOoJF5WVOFvLt
sLUzKug3yyQn6d8WiVFM1cEvHXAAp5KGu2C88QpHoCDvQryMuoOvBpGVT8hakFBcuG6Fecse9gJT
9hWzdpeJC8NJlF9dWnmXW9Ut9vI0Suyngokg3YNLdTh3pqztlBbsvUx7b6bZknfAscoCZWMzQIxu
nu3UbjgefMowfKQPucMSjH0wd9YONG3YI7AfoA+UrEVKyBJ1Ha5jNnTznqvfyQzTRe9QZNN2xxxc
FvjS9tlgPDS1v0359FmkoALCiYZ3c782xBvHIVQbCki+XWo2CLxdoq7A3cRnLekTjlZlFptMjMO2
x2NJbEvE71YFiwlOiBsW5JLwZlM8CqMpg8z92nVsaLqDynMirR0w/gXQSB5kQhtbm4fu9NNQNDpv
uF9GtrbHrdRozVdB4W+nTEcL4JIHj5HFERx+1L0mxrwNME8Z25OnrYnvVWG93ZpxBPeZs8QG3cQ5
jFi8c43v16MUFcxXEm4wp3dilq33UAoX7PfOnUISQDTZZBb34n30JGsf8pF+YWwXl4Cn5kunGTVq
9x7jwgYR2/85PfxQhy544+H9Vhtvv/7nTX77PTIFdnnl2yBrfeqKeMO8lrknc3Wko3Xhojt7nTlI
ajsptW824Cnqd/H2oNp1HBhq7Ly1Sk+NFS6JiKwyGxfvBulCy10a7briV2ya1Dgr0hzA1CPcKbeg
N62FzTcrPzW7V9qOtjuI/aHLl/dryuycPdpOto03WZu8ZNudm2+P9m14IKOsuD+em3MX9sKvtouf
t8pjh6mt2g6TYWvENxcaDvzscaXAoIdzrtTZbu/bQFo1IgXib9vZPoUmmZ6/w1zUYXT1Q7ad+tsN
NVZgPorKjNO6UAwBadBFvSIgo3krNclomfsp1y3vdFikW+ajn3i++ejb3avlpQ3DB+FIvV28Aubv
3fTksrcPpPLCF3dMQa9Q2sXDmGaNVWzn32hgFNMjXT+A69EXB3wuxCwrdc7KfvGt4cJ5Gyt50YeD
f3y/5dhw0lq/p6em5ENYAVoOXsi8ZJ1HB7B65iORGx7cseyMoYES01N0wcatyFq2TEMlyW1WJAxI
2fCYMn3y23R7nTXrK98rF+0VwaEkWJyXc4fefOhkg9vSaw6Dy93Y8EmPdPRkhZbm92mj7/lC0Ciq
67oDWXW91BNJNEETBKmijlx+dT2WQ0JSYFIFR7eytB2fPDhj7AJQ+WxjfwqZyovD7HQ2M0ygMvgb
+6pmia33s9EkYQ+ahaVq/mjSpsN8AxWqLcuz93RyMVT41R40toCt/Ly4ves4sKYybsfR+fbOUOGq
uGE9PfXJ+uRkAVKRxw6vBRCWw9ulz2Hac4sciW8eV4SLFqYT3mpazHK09m23DyfLbdSQr9qG+Fv+
NOghzpiRpe3teoc8t/miGOD8fpeTCjWivFrJK4euXTZhRMpi8eorR8Lsb2IQDdsedhT4hT28J1lW
DPJUckBCpRL7lOLhxGesb6m3hG05WcNOuCX50oQCnPcJoETZNruhIjEhLupNaTBFYAhzkvApjdZM
lfRoL6x5QHhDbjN7ve3m4au8pQpsHZTk4ouqSflzECtc5ceJ8CwxzqekVyq/Dp1iS1JibcH045eJ
4w3I2bp6SfaYiRpLdvAmKSqIha2B7VrkkwTyPrkppVM4GazVPPzVcFeuymvqbdmoRbINN2UrqtLx
250shpZMtJObuTOeT6vABeeuXPVkPNDWN5BVWCUuLZ+YbxlfxiRX7kCBjnQbRjguMvmzvdyyVBUW
BVsuIMRBRH7ywiXrrFd3rrzq2vM6uSQH4D892KIpt4o52bOiOZXAqZf8t7ELKstX5GZcOu8/mDQR
bXagYnGy+X7yiW26L+GYw8L8SMstqYmjKvVYYxtpr335tLoa59NIszrMbPbpjiSmxNIuxECMUV4X
ob0DM7UY/hhhmEH8Gb9fyduz7GRBgngnhANVZo9RK9NCVY3b/AeRZZtNiP63lzfv6+03mm/bGzoM
t++BczT4jQV3Hb6AvRT8Bjv3rbaRV4nkVU6JFpPrdVgsuS94Ube3MqRe3p69D1liSg4ZIh/mR2/5
8G06NbDynJHm+pFlKzO41ZmPuW80mQ3Zc3dZk9A+TbAD+aPUWLd0YE+diC8InJgtutVkfNM+xAMm
b7mdeZlTafz0fiChQpY08Ag87LcdW5MXqw/GqJHavSvfJqzyLdHYoVRmNIBC3JKQvfKU6yJRq7s2
ibLOw7FV50JyzdjbFAyl3E63MA7KD8fwQThyWvrbC4fmknUEwTCCTEIZeyszxs00b2PST/DbziNB
31xd7zMcwxm9bzeEPPA26ZWBt4VYbm8ZxQUCK3xP/ibx9dOGnlwO8wMj2GZyw0Ph57RyNtBsSb7a
fsja1uOs/TSdeRumlmm2M9ztDapGEi8Z2rxuO/e/2d39uLfbDu9thROor8Li+D+l35WeW4QDPqmq
t6mxIAfMWbAP4E369aF+SqDzNgGXNTkWKSv+7W3b+u8KDliydjR/W82fY8Qs57bddTJx3RsA49vo
Dr1se6g6p5PwoXWVyyN7nxx/fS4/phBQcTB+YAhz8ZTDGef2j+cCetomfVukD9j5Mo3lwtri8b5H
VbinQ//v7/NfD7hp3im4AyYguRj+lLPAW9fEjgAza9p6WChSmsqHk79g20pa89ub/esL/BkqvCl5
KAp+s2ezgSL8nMicKxpnkcl59+8zxpStW9J+AfIhxGF2+2A8FDJZ1Z2enKWIa+h2vOaOYmow+tVl
PfqbM/pxpHPP2UoFIYuXj5CGFN1PicYlNI3JX5zuvnp7qSbiOt7xGVAW83qOzwOPIHNxrLHjEO0x
Z9AZ2XYiBaxavcKkZmd/EPhsCjOamVqWHVN9x6/zfiTWdb447CfR/n+rZ8m3afbXF/HzY+TBuch2
gNCSkoV+9vNj9LJugJY2Xmd9uc1M67dASPai0XeLEWj38p8fT2DOYW7//JV37c9EIxCq9fX7soeB
JJ47ZsvM2kZ0jaX/KLWGQBB8ckBmkYmbV/Uv04EzJWSix7y4fluWCJK3p+GXFe9FA7KXS/71BW7z
y78Sa+RnQ8pPLm8gehSXjOZP+cxpwc9araI88xtDAXr1a0yiP3mKF+afTXXboXh0AZUlOlzYZP48
1dWJDZUrBXf3FoqMguwI48jukHv+zVVZP2ag+XQUGiHFeO4i+wBm1h/nl8YcsqSYZfjZLEhTv79W
2GxuoaJy6m07OQUjluxm7Sqblm84oiyF1WpaPXrdZvYfi8lkEvz13X6XiHx3w8lhcgtChDvfBAPB
z+uNaVIv8nMawNVqm1lPD828qSQ0OHTd0i3XUGjf0edNzhcfcPyjLQ9qbzpY9QVRBNIg4GqlJCN1
abvkRMzbOhFp2p4txCyivU7mvLTmZZfYlMI+9phSsD1The023b6u9Iou1URM1tdYVQhSgJfObLWO
dxu+1RlLj02Sc5M0+FzPsKizMUTKo0cvh/5nFkhIztgA+XkdV0DpGSLvgZNv8GfZBh/ehujGk2UR
875Nr29boPLb3Zyy2mZJYcu6hSfTaENfOWthtFbXja253YR+nvavnb7agkzjbWaG9kq+JzJlYK3A
TPuhxmSj6RVUp9iTfgXd989UTMdynkXvAda3yI6K38T9XbtgCy78biTjxZ6n9DAqC1oOicXVFsGY
VFHydFfNQOXyI3WGqqgeHcLx0Ln2liF05anwTAjt5wKgE/nf5W1/GE5LTwsQ4BBQHvdkhnyqH1GR
DQG8XkO36QQRsnNQNdm3IT31/rRPO4A33QexhOPafqAOslXaiE2h41y3Q09x4wOANM9NgUi6yBwO
meosq9jVFsHwHwtb4j44F9482Z8sMS9DcE06L5F3TRgWpb0vmt4w2aEzoUHlVgMOm9DN24VnG0/0
kOC9YhpkTODAMdwFkmQXVtglQL+hB0VYYbjBLj+EtbCb88zsj65ZDdOrZ9blksWJy0agiWq/qQH4
khEydBRs3c4k8d62Bh11+tS7DGrWk+LQZBUwLqL7b/EfCfktfl2aYVsM34ZG9S1KbfyqZCupAIVo
bD6U6YFLVn3a+pyGXZY475bGGH5gcWmDB7nRTg91LlIRZWk6PSD4RDK55FNyzN3ROctNZz3Vah7P
yLC09z6NMrs5FNm1nw+VSS57VB8SBvUZAFmQLLx9GYxWWT2nZt7GYB6RYwc4nhzZhJPqshtxEUjz
U1vyOjaT9C69KZcgzrOMp2tCSUSjjry/zfXNWlRYrxFTDHvQizQfl71Xf86kfrAtV14o10gv6hFO
m+hJjSOQSc/GVodxFk7BHb1nHXoDmX/J+y6Jq0ym0eI2TSySsDsPVrs+LDhSKEzhhctHB0uzc4vG
P0x85Clgn/iq5lZD/8ySL11YVscSo+k1WsJCHDL6wR4kJkgrTdhmh/Wk06aP07wGLxVdpqQYdP2B
5pF8b9qDee6aYZZHrWE4ly7pw4MaetoiCz+5I6kJ5gyeTvjFogTFPsuS1v1oF1l+kAvYQjgQw30/
uiRCmArod531udNvjH9RT8Eu8cMkC55zCNvLCWWE/tzbbmHtWy0Htl95nS3wwkXwNRiEX8dGYqjz
OkQmEbvWUNzNo1Oyf6vbC9EPVrdLgqx9MYteXs4+cJnes7YRmoittpuO0/lMmH1l+uV4IitvnOel
kwHwZPb7QpsFTRTrGgA1H9A7fpxkN33tDGOGBWmtL2AtWxulg0TWuK49IzerJO3kVqt0LNepnM89
nXZpZCLnvV4sn4mYrd5unJzKOccWqZLnau7UwZbavkAYPEdkoJ/EtHwGuZZcuxavz9jrISblaeZR
Cg/CB/fYOnvXH5prmbnq4yJnYkWTsjvoZ12izSh3fp4KyHjacV+omLeRY1fQ/0hg0P5SD3ez1ZR3
cNkHPDqGIX3ssqV7VrOs7aib9bxLLLxeooLzoxIckAvkxZuzdefOwXQb2uB2aUcbi5eilutmu1s/
NW2+2SCM1l1IceMkId7tAPAm527euC994M2XG/lppBziag4KpCrB85qdsqZnG+hcHlVWGb4og2Ar
Dogbi0gUfXeLw0mJwroDI4zPh382WC0tLG2N5mTK6CFrGxpU9WwdCzl6L8pJHif274+Qt9bg2El3
AWFcp18XbsgxG3xg6oSny8MAnDCJlNtRSYa2DI1yHE9eWMpjR3xMx7bfh48gycNXZ5bOh0Il7eu4
jutXzQCPUWzjEY7gAdqjB1lr7oYH4l4jElMzXhr0931azZau94qGK+w9V/c6w9+AtWxmRjKLPCBP
BTb7DO8foNR9UxxLodUjmjOH8we5C5rKORSe038kX9jdhk2mzqylCh/qWq0XaV90+9lnymV7XufX
jWsO50q70y1GnuqDwqLpM62mTA52t9BwtNS8POTabixn0Bez8qdTPs1OSz4paI7w/F2sMj2Un6Rj
wtNqqOQySTJ1t9pB9hgwb38EBD98YMFPaSdV/tVqGQPaKi8/VGEiLqm8W85uqMMqDtalAQmNRu6w
pkZ7W1IauE3nVnY7FCvmQU1F91EO2qWjTqzrpQpdfYGACjaJUbcfUmelxyXDpnfv+GVwZlGL3NEA
6N4EYwpiDG7tFyOx0cZdLsJd6SlY6pkYPPY1qfbgshTOCI7VxKoFBnsVyuRyMmR6S/anujYg3j9V
g3rhb1IS0Ln1RPuWjgvtF9dzWCALFdLKz8NW2p+0QacEFIvJvEKCpB9zexy7YwYhwN2FmeVfuEmr
gkNogmmEURpIWIk9lgcjdXhA32vt4yQ9hGNUO0lz3RroEC4WowMyH3vmNKhLcG4UoCzs5KZT43b1
jTO7xp3fhLiXerPK2n0WSnVfpPlYwzFol+yizss2jw3VCJSaNEcZR3/s+/WefgWls+MWepgxNIa2
akvuWgs67LwkV6CqneUTuexErZPxiixO0QNms9IPk79C7WzNyrtERkiPG3xGgJUDCYLhSeTsShXz
iJKD8Aic0ga509k4eP65sGezKT6szpLYcInnzgz1uc1kZ54Cl0rFscNpVcXZ2Av9EBppSVewnVah
ipSRpPhVYFswP+QOap7Iztzqrl0sYz1ObIALGhg627yEqzY3O5sWRf+K5sB1ihHurTFczvy8sEEk
eJZfng/GMvfFTbUYXrjSIonV9lzH5I/qclOPwWGrb4bBLYIBmHbhwfxtdN/yPgSUXXfaWux671q6
ymhKo2oc1Q3p5906AOyPnHqhIOXrojxrcldAT5vEdFXmpG/jYs5B0qcQ7ulJNzOfVB3EuVOZKkmZ
FBNm+hQnqvLeYA/XBlhzf1cXCabevlviWLiQS3yypKG+jFvznqPkYh9hOFjOPh0zW+On7c0ZME40
A0jk8IzJvPvFcMG67jpNF1m1YyYd+IWW3o45/8wk1AXePpMVgPe0s+YQLD1Q4GwvYesKcWUZo6cf
KTLXyVlBo91LOo6f1jVLH9NMfkpDKYqIbUL9MKE52WPJrY4miwd4L+0pynL+elEBG7wGWaIP0DfC
nezkKiMf+Sh9N7WoHzAi8WKlaL/RcIaYX8eh/jykCXTitqKilsLpp/IZAHif+6nD2EXP7m3YZ86D
j7BJxflIDorxwICJ0OlNX6xWlncS74Rg3/t+etm3Tfugu35I93T0j5BMmhoml1HP4alu4VnbTVcd
yi4RD4CArX04ZO0FBgfGlV3O7oUtKaa2aU9RHacEXGrtZHxptK+P62wDjadzpqpjMxy7fi8tSB3o
GqfhJNWURGE/mfOuw3IONGIP8Cm0arpKW4Sa+tR7XBxUMcN6WBOVf8GSveqOBXW/WPFSTtG6lAqz
HpvFnxb3Ks4L4gtOIbln1ckPGh7QDtRB9gSUwPpERnA+ICYKj60Z1gdf+sWtAS0AtIiXPZtN/VgV
KNRSNm4H306Kj+1kDy10sbb9iAewOte2A/AmAfEd7HKStmBxbS46Ncm8g6fesQl3bgq2Jecj7WCf
y8zxP5X4Bj+XljNdYpSNcEJ27ckhlf1EUcAutzltlpFTmN2VlyQOcSuT4zYI3c9uuW3SF9ybWLVn
u39tx8DI95UHZzAiyd16p0Y0ebvrVT4P1MDWliSmPxW0+lbMI/T65oW4qmRvv2aAGMvIrjiHqKj8
LNiVfO6OtBxjIqPz+lR72saFIENgqoi1yvS8BkH8u2TXlu1K6TjmJxbeSUWhAQnnzBhKSPOyMM5w
mbMfNz3DwVrHUkf5YsgbIebiVY+BZHlg53mABY5Kq02Ec0lJUV3gUGXRe5kS0lzOvZavpT3M+a4n
/TlG+VjNnwcAwOrIS8k+TUuyq19Gqmk0+BfjiG/U6JyTPMeWecoBr51tctavtOeNyaH2s+HCXdi/
gTIX8DDp9cJB2uhqtMjmOoqnoa+qj74cZ7rDHdDYptGZ13ryrQeqfkGIWokYLvKGKauOwI+Hc2a/
ZtrPXZYBXJ9DQk/UJUZ77WSTZex0sikEl9oUdOnKkc4HlDIMop2b1eAYy/GQjh4lHphkRUmQpvbb
NhYeMTwAm5gaT7n1uQEgXd7YrTX19Ob3CSg7Bm+Lc5GydFotRwgKRePeeLDzgqi0utx5qZCzGs1u
NIK5SA4U8srZvCqz1sO4m9327MpIr1nda9jDkymWOKOuBkJSozJ3l7gZl6QuL5YAIJC56/G6t+AB
jWStnGhGfh7qg9ISHj5MZ5de5IlXhfIOXUJOo6Jx7lpvOKTEas1JZ9oAO9T18yjosi7zDQ7RUQN8
AMhJTegoEXANTawW1zCL20LLkudArx+ghAKFNbWJEfk9l/+1NkJ8EZTsi2bB7iibxbNQws4e3pLI
htwKIVjDbClb20pmeUGX5yYpQMew1Wd4D1f/C0wic/aO6L1X3rfOwjXho5bgDcFHBSTgDHa2STF5
LBFMx8MT7hFOh6sKAeV8bRYY7bk7jQN4Vx5Xqm48LZa8oi1enUA3Y0274aCXBmseLg9Dphb1ByYN
onfq5MEZAE55e8zNs9w5N7XulhZ9VD4Q47B3SLuDlEHBfIwpeIwveXplIzIjdJchM+YS5gRRgXvM
B79eFkl2GJRhl++QemnYDvu0md28go2PEigkd4Chz+VK6BfAkqm8hOrcmIQSYL7bhcBeltVxj9Qj
6ycZ6OrRQPWDh1BLU1zkat6dPSqY+ovZ4B9M9ciEQ7BvvR4wy6jQz8zRCjjrjkYmvXxT/5+HeTre
gvwdz8hP53j0Js6utD19VVh4k+ylUyMiG0MK1NKoHgpszf1TRwjn450oF9rzm6lsjmowUVfOgcQK
DWl3+UWuJh4viYIfH3msoziZOOty32MPOhMgGNWeCJQdYlJIIY7Kc4c6TupgfjXWZF4k3IOps+6D
Mi9FDN+8+azoO1VRX4xsDZrVGNmNqMLKNoCtwt0hE+X4JcU+h4wLEbVNC32ZpQf6x8bEONTaChAN
2R3OPonptu3eXcz+zOpb/2M10hnb76DFpO2OhGIu2KH6S39NT7ypY4jKenhGkoGcI1IS9d8OrUkH
yEJbNnonklvXKTtvmug74nDY+dqdo8kBsOWXXnVubOyZHkE4TR9o/mSNpMReNF4FjQgplRlDdqSf
ggfjz6kROWj+zjq4OcVOkzB7XRFSMDaS8E4b5mbAhkuRZ0mw7jzs2A2TINwXaD6+GoiqSB7CCL80
mIb7T2wup+zOL2q1RV24z50RwXjnCuPq/JUp0lmOzugW9+3kJFfIN9MvqbK488G0zsjoEhiJ5brm
oFlycwIDI/TtpODVXUva66ha+3XLbOrDbptLEd5bpA/9OCzgYQImB5U7odn5fXKwoAZB2rtnjVvA
uZyUeOiSFMK/3ZjPnuqtKPTRR2bQ++kc6Ncloi9ruabXE3KNrfuRZjMQD32Ea1s4nlJPoZrrGzBy
cBoxtAqmEF7dpNgNQ87xF/tA5Yr6LxTAvI/T0QHPROSTkIUZgAbryEkxaYH8tfRXjpb6MrUtSPqm
SAFzINCQH6bZH1BDDw1XiUrB/+SqDGuymgD8pjO2iLeHid1ExNRgCjzwqshkyi7PYhb0AkUY6ZJb
cCE2qA1PSkyWRoR/sQPTZ79iiEuGQiDzQ85Sy3h05B9TnzV7O+nxexnE8tFnthgv5qFR+Lt0Y3Df
C4X33GAI0bEhyMkC1fA/nSqxL4IMqgzypWSpIwXq7sIwMvt1qfLyHOpOf4uGENuePLBf6NbRDfUP
P1x2ueiB7fiTmy+xBrvRR5UKhmSvszyomH+VU10Ulr2Iw+BN4slIMjlfk7kqHZIBbb1Elaytj2BW
0iWqEYhctyhfzL0Pcp9NQWjTbdFhlVvva6vIPpRiVhOuPqzPI/F5nDmqw22TitnN5EykoR27Ta6D
qnaeoW9baTTq6qPT1+2zGto2yvKG3CNKTwRc6ciQr9THFKprSmw1GzuDyONKadqOevIun5pUGycF
eLaK8RTwbwY9tOeDgHfFjry8JC8ApDsxgycyxrnPMEi9V2zynP3smv39qBb7VPYtuL5iDKYtWjNr
JD0NKR6/74EqOXBj4hVihYrqPJyPjbDH6p4u3jxWJLdixVDHecgRek/4Yl00S5uhWZys5yxZ5ucw
GeBt99qkpVOU+zqo8GFB8xi7wh0eA8L9o+Um1muLMv7Z5E8E2EVuHK0Iz/QCBVcz4oOjHAfeukC/
IJwebqU2F+wEhta0eA/W2zA14OIoC0tE1gNsrXTQO3HgI5rhry+nzla/Q1S14mBmo9K12GhEc2a1
T0ZQuQ9F5ri4JZLVP0nZwK2JUICWjvN50WT/FY5h5IPUKwtUWY8xtXm6q57Z0ba1vFduD6j6Zihg
D837Pgg2zZTq6MtGvDAvBYZZNFxIp71xFyQ+y3Gy6SGxY6c15yE7mTqri/WEwBxYWJLPk/gsGrct
z4qt7x9QpavMYaNgguxRTF4lKhtqbeg2CtjSnhkjCLRWwsbAxHdMlZ4y5xNQdbKYkWfP4oA/yRR8
8hrAikPUybKaK+YxkZmAYMYG/URsYCWVIrRx0X4hkyaMR+210KPNS4O8HkQMSEXZfjU7Y/FxCiet
D0wI2vpSYlW15mmJikmmUK7tHWMQS6xjWqSr2d2NTjCwhcmd2VPqqQ0m6M4xBeKAfR+tTPlcXBdF
2+s27idsg629KR3dd68aCpaFm0MBB3vZTa1LSBatkNq7ERwku+JwR8Z6uxLXS82wAos0j373uzbS
1RYR5hklP0Oj73vzhTH0bJgviqXHFXk3m2Hgj4dfl+d+rJBTNUQBYlI63Dp5KcD+7P9NqiwYTLoX
vtat3Aoa45vGxREA5nC78jNXI0kbTey6dlleUKL7mxP4sby9nQBCAZp3sU2gSkhR6MeyZS4WeqPS
3P9Svp1A/aY8qcuwYsQZLXWxt0rp/9Ic/oYBY9Gm/d3g+AvO4f/QS9g2VO+/fkMDn77893+9/cn/
I8BgWeFSqGe00LSFpOZPkoNhWe5vdIJ7b+KP0PTsfzEefXwu+CuwwBht8BPOgZLtkP33fzlQHih0
Egnib0eTUfBPYA60dfxY12f0C84LtKMNnsb9i/yk7pjy59KbUGLjvgSQmyxHXTWgVb3WvMBnNKC1
sej8YdXHEqlxbf5OSY5Xt2xk3X+wa3dYAYvyltj7SlEZm4qdP9IoGTzkHiGNR99s0eSW3slpJkcB
fJVqOiaEy1kBRtIg0kTIVI8nNgp1PxJOsIQP8qqplgJY2pgHREWBbC4Fdfrz1qhHLN2go1wtLqZN
QBWxija8Z6Nvx+PUjv7WIUIXhyjkZVEzM9XFDHVMiNL+gHns2uzyDBVjFNYT6wcNYOEe/XA3xZVa
U9pUcGC9X9nnvZjSJrZvhn68ouWb/a+dDQCO1ahzfKqd1KyODcS44zzSORiLsMWyrU47/zqE21rs
+sWk7cgwWNs9uQzHQZWjjoytSTir3fJMJmo6FKvyQToZDR9M5AgWEVMfiIEiaT4O02LdT1AYxmML
YTnO+n5Mo5TcIJ4UKV7ZfVmrGMbY+IwgdnlK1tb3doCo5HzCQAsvnkQJLpQ9pbaf6brv6OmwqmMP
HossZznuvVR2VtRb6nKiMWWrUVJypq8qk1FeTuLkJb3/FBb4ddjDBHI5L9CNH7IeCy9qbpYb06W3
mHeYoextIGb10RmqZOdhdEvquxh8ZJEF1hNipFIVAQVQbWxqFhcSb/UZ+sAsJm2ng4M9TdN+GooW
wxB7TA8LJUVudColVoZ4yGMwlJsvK8qvQyl4Gw+A2bG5wFr8pYZ5Yh/oXxBHEJPyARvF7IKOmeq5
RYOAQ9doTTvogANtXllqxrbCXbleVKztLNmTWKctgVXGYtBYszViiYGlM1jCeZ/5KryZRUcVKFF6
p1ksz7Ean/2odeqSZiSHqprIdPXFLIz2tPlKnIaaEiRIl+QTbwMFLhpRwtcETxFAQD0o5GM6dPaH
pMr1aVK1fyCz5cPkaJL+gWD4szkJYzNYXmMa/gl1eQOwtffZnFIbm/FtSsHCXtZe5Z6XmQg+Is6y
j2Of4ZogQOVZsRjBDPV2bThxn3QfKPuq6y4w11fMWJIY+f3ypHNZnyUrso2dYZhhEUmDsHCURn+z
YNZy3Qk6V6KhLYAX2SM2qYK0Z2zhs/Xopd0QTbjNYtubp78P3VajJKCu7ktX2rt+pWJGkvc4tOhS
QJm6OkIYbd7BYdW7BR0KzhmNa9NiLRIrufiWTtBikDeqTiAoe2b1tbHK5dSFsBfmTT01zksIOHv4
XJig6ukUmHZ4l7tnW3MM2Ub7ZZ6W35Fn4yWFGfoch6ONLUpMXMpzpOO3o5Tu3U49VQYOizpbL+p/
V8W3dexvVkUSAi4L2f9MPr6i4v3yOdO4cA7994vj+1/+yTkKfwttAj3QFsIBaxYiO3vno/nOb4LZ
BmIrS822biLd+hOQZv8WIPAk+PLR3LF0Ef68r46u9RvhEMmzf4GTfmIb/Yp19GOYJfhoy98WWmHx
35wdC/T3StjQWWDvSkOeBXn1R9am4dFArRPBA5veBtL/2Lj6745EJ7PrmBRJbNhKPx6patzGXWeL
I0HMx3YOnkLTkmJJMr377jncvinIvm+R/XdH4hghYasPcirYfv6dujcdDLSkErvzYSqR22jzph9r
6Pe0Iv/jAyFatolitroPx/rxQKNfWWGrVnzV+/KPsir/SIz8j4Kv/8lhROBaPtLEvzwjQEXILWjs
ohw9hfuQljloOR4d+XP+H9w6xipyQQr/fgAQ5ccrSiUiwJbkFE4yNSUAQCxYjdvBpaIh+9cXtX3S
d+K/beAFMHlgymyIBdjgPx7JH+vAGMJJnmUT9XAmrnuWgCfLWJ7kSCLn1wfbNgt/ORjbiY2YAjv8
Z76Iwf6Xd7OVcPKxLfB7uqILrE4R9OQvZpBiD426HQ4A7fe/PvC/GYqs+45wwFW5Ho06P14lWS5t
g9SXZyTsqeUpXA1EaJRPRsF//fpQ2w37yzUKH/cLD9kIb/WPh1p1oZec7fuZoTt1VmtJZtg2k4df
H+XfXtB3R9nUpt+9W+QC6DrVFUcJZ3Fhq/lprKfmvFH/2a377kg/3bqprLN2bDgS3VlLTB/Wy7ph
Hf4/Xi/zrxdFR0AA8CP0aYv6Sxd/C/wbNRRxgxztNpbmaGzF9GG+Xd162YeJ2cY0YkGPoHPhzERU
Fv9f9s5rSW4j26JfBAW8eS2Ur65qb18QzSYbJuGBRAL4+rtASXFFckKMeZ+XidCIVFXBZOY5Z++1
s9wKNlZjl8cFB+JS0Hvjxh9jGbZVqT68JC1CL4usA1MTwrY88TnBHDrEszGca4+sK9yfKDCAyTar
ql6oDUlUbHShzFCyY+y9sSluAXybz8IzITRHWfTGKXNaK5LC9pE3A3CZiMxUGc+zwEsccx5n2LMS
UMDXQxPbh76nHSlJuNj0plfe91pmH/VgVh/0bYOd0bt8d9fgUzK7Oim/40ifkI1VbSY7179kMNRJ
zeX7aGC+3gsc7msxkNVRBXF9HZtzte4dGErhYEVA0NEUBCPazp7M7qgl0UOPRpgbpGKip9BC3AYF
xAcWriLz+hA5l4nwjcUliVMixFy2AIYaxranKUMaPNyJow1oape1c3UCclet/aJJd7CstdDDWvyM
Gtc5jbGRvcV+lT+5SlCLdFb92riF+Rzx25nVK6N+rQtbznynAREjAelBH1oWxqLVCNIyXWFqyZ86
5aNo1LriljzU/i3i0pySrKkZ6mWfusE9lZlrPhd++skgP7rv3bki42v59l1XnabcrMS2zXWqLSeg
i31D8TbeIZmwD6zo0CeGArdkTO+RYwBgYoDm5TGN0b0z6onTS2zVAenJcfnpkhV7MaqMiyhzB+SM
pnx/9f2xzzuyWRjG+FfUeCV2Ji5CJMmRmW0Cv4umjh9QRPKTYi8Vb0yv2WKBG6wjJ8lQKMNJgQU6
t26OJ9fU67MhhzpYu8yV6WjWGoxDY+j8sETOP8MRL9srZGrzs48W8mEsRfFpekl15DdOm7Jn5dR1
BhzoFIOnynShepcVz4/T6iRHtzZBHqsgSYZqK8ciuEJsZy1gPm5BHzFlQOheU4mik9FIbHeDp66h
cqptfdbCwWaLY9rm73qrpp50coVOANxAPOxoSmXvgTK1LSGow9n1KrrMaUCJ2uGDvVNtMLzMRITt
nJpUt63SWjPFWGI582bOsPwsGlrqUOKyjS9zsGTNzbxb4LAnYw1YvHtkllW/xhnZvN6Us4bCCyHk
T2rW0dWXJjsmRy1kBm8fnSQWbw1W9uMYxSUxPTQKCUz/REMWXEWGax35IiR6x8VEM7Kj+k4QM1xi
EYwb5sYBagnukLTY+qS1VMw+Dnk8+9E9gyIw7HTqk2+Ih5090UFIjtyEDHKUOy91Nw07q6hIQAxw
l29m5ZdHJgDEgCNKbLSekTE1cNDG34BPeBTV433ZmPu+Gr5I7PgMzZF7y6h2T2yF3m0ieSmNkq+F
KWg4D2gFN7HgPbcpfFZm7Yln3wCtqgfjtpi9PIwRRhDoRUqfWAmEHStqYh5qVsXxBkEo82tGadcW
h8ptA2dvIyRQ/GGogd10GdiXltWtUP2wM5Z9t7b53WaRvUO19K99lTnvOclCt9bQGxcE48ZDhkr6
OEqeKMGC+gbKARBnPlXroeTnUxbyGhV+E1z3pVQfndaik4g71pyEwJxbw0VvQHf3nVGNj1qH9QO6
gHfLQAzdRdvCAPLwESImkf5tRLbflaEkK9n3k5YM2maX6wWiuYkyv8CVsHYVH03+DGChzgfWYxjq
IyE+pC7pKBHbRNKGTZ+oTfNrq+6rbaIs0hS6or7uFsNgWpnVKUcgy0reJJL4ZYMwDI+rkzJ/WqP2
MDbfV12VpK+9ILBUV6xWw/KMOPpsXETUp5fMGePtMCF78BQnCQjevXPJYmfbwfkKBzB9yBdmVsS+
Ylgzk6qajlyhmfQNIvs8TIRap0LJHSZFSW/bfcxu8ICEMgp92urHaJbFbSdZe7SY1QNn+KYUQ8E1
Dyq5tWjJMHEZ0osVmfoXnNn9acCQHYpKXvsoZfaUusMOC3iwgySnnfs2vbZw2b5ohDVeT2PSn6Ns
fk51Sz37YvLX/kScoj2D0pvRvW7KBIEgarHoJhevXtMW69RKPolDiEO7Tx95n5/AacZ7069IhceJ
Gfa6VTOM6FA1VVO8Y3H/ojmVXJkemx7qJ/ugAQB5akpW3rZkxdEL3yBv2SAKHRgo49Lvi6xrd/WW
mbqxpfainnbRsbFvo+WgMy/3henY7a5MghXwt5omAoRkGEd5zmKWUeQ1PCJZUIQG6osDICvSGPza
A4EuWhpZ09DQRsxrKy0YXhKJvnJA6RUrhMiPXWEWCGes4lh5vV6HZDE0Ryvv5FoaBTq0NQQjml+n
iUlLMbP55C3rX+EpTHymStWaIPZE29moJ5OjwqcxjCvCqQf/aA9ke68iVzLtZfwUtNIlPKb1PsFp
JMRLDaL4VjtuvDLS2DuMBL6QDzsFbcfpxtE3i3Qk4xp4glEM1m7iylyPqVRmo0MJ4Y5lm75OWns9
o7AcGN4Z3ZtPAA6kujG/V5nF0AJtGVkPHK4Jy6m9aTiWeSbW2Dq+2L7EN59lKwj0DN4dLWGGwvvF
wjHckviknQ2Iitma8TSBZrY57XhPTWtVZR2qu9zv92YjexRA0Tv9IsHk0qRTp1cEvXuN8UIS2HiR
7NEG+jrEovRmoHMEuTVfeF3jjzj3DLJUjU5b5d4INCXXtEM6Orq/JdmY9c12Wb7tmNMJ1ZJN1ipT
S2ZM/OC9kApGgQ8cZ/fvB+yfwLZU4WQ/U/tj1nLwCII5+vGE3c1zbMtOz/cNG+jaNdVw7mOp02Bs
OSeAt0JcT2YRysGZc4UI2urEC++cerxc6coIfleo/TgJ+uv7LJ19jw4Fxe7PhVpsxrwDfJ+2MJ6Y
UZ5awZqqvPS9zOUdRAVj++9X4JfKEB8e8wA+CcATfY6fJj+dPThFrOp8PzQcwspIRmxQbMdlibwR
WXP1O+7nL8f/5QMxxS8jB8tirPjjFS9bDjg2OkUWlIZ+MqtEtU47cJTrrC3ekZ2iLu0SzoMOjoDv
246qZsNFH62MbWKQiQ1AxHmv5mbYjR37+r9fD+s/fT/HMDF6eh6J3T8X5fWYVhrSG7FPisI+yqEr
Piur4Z1SveqwVKGqGjfgGHiRSC3sLwO92wWhUl/X5EyTuFm8c5QpjxjR/PWEG2fVwQmFsDFJ52Sb
aXBVMta4EuiLNv3QpDVYrcjZxxGrsjVSuGLAWARUsMjegbcucT78z87XDO+WqBA2YGbi+dOSw/z2
fVcsS4YyoZqF+TuP5s9e4uXtMBxOlDoWVEChP48FY1ixxLx2Yt+7GedthiKrfkRBiELlpUk9bU9G
xbDyMyhWuPyxbLf98d9vxy91dgBw2kd9glGeNMqf4eD9hEujTo2UvNwJ2pkWVyeSt3+3DPzSseBT
aFQwMsbXBv5yeUn+UWfLVA6Ri9Fk79ocnl3kEGFZM2lqTFAhqC4qC/Q+xQPZKcPLv/9Ac3nef+gk
4E7laaP/A/N0wW7++NnoA7GE5SrZ251CAp8jaLvSCPN5KxhunDo449N1gMr7iQHFE2CQ5lOrHbUh
TteJ4XCXaHRYb1tm83BVkHj3NcdJW7R7zt/BVQas/WtDg7w/aFFH4fr92/9vivu7frXBEvGPG/3L
GPecstPJNv2hVf3nX/qrVe0zxw2cBRyO42GZx/7Vpw6cPzwPxgyyd/7PvzvU+h8sRXCjFlgnDt7l
w/+e37rLaNekz7sAL//bjD665D8+j7SnPdOgyfp9Vgz68KcNoTVcOgkEhB0JLhvhreSxi26QaSLx
SLVrD696XHjYDpzqLsVyd5lVwCruF7oRloHMNsaSuJT1EJA3rTmK6+R7JBORSxmitXZHaDU0eHSA
K1oOhDg5/siShhZqYXUI5dGbIfFpyFV1pX+PgarM/IozgLjxKsvfFVgDdxHpfTv7e4QUdMFoTbC6
i0Q1aQ+CgfRZdlO0XkxzGk6UqUd0hLXwBOpfvYkCb/B6JHYwtBLJsVkziXAu0cpXjc2ZY1FaHqT+
RYi5esf97p9nYaFIb0e/3/AHYrzDxF+JBQSlotGPUY4G2DoZaOmH5dC1F62pfSjSrz69mnhtKyv9
Ay2v9ls8mlHDsLY2blIGSVTcVnsHzUgdiUfTWWCw3BehlZnfMEvqMOVI58FxYVFwYOi4xHoZn7p6
1j5Kl2V2xWHavCDsLQ9Q316GYGzuMgV9TST+8JjUfX/P4HgsVrk2t19gB8YvLTy/IJSonlcuZ0S5
mkuks5T5B7opHJxN0GOHxAmEF0KEbN+baVQyNG317JpY0dBm51/ytO/3wZz2W8NO04+ZUOirVG+v
tTl2jsh4MB1G83yqo3xgDu91W2/0O3PduulE1TpJkuorMxYvQRqgJ+QqSf5rhdZtzQ75HDbGiJZe
4fJDMU0xS44kOgKH3HlEuTtOnvkDM7/kWYBfE6ECkWliEEKZWrgOKepEsOEXgdaCejHl2Ts0rS3P
0g7mLpSVDmRwMhDHJxDFEBwiZg1VVybrfAbNRTdpVJ8ko6K0IX+upJDIu3kHaKq8SV1nXNkkwl3F
bTWvnXmi2Gn94lzT57syNcuYQhzoNrFuNirYlVPV8RNtQ9OlbRDbX5pRIUMXnPyXYBT+FI3//VzP
5OsNHm7ryi8NQA9OcEsyXgLfTtvUSTGEyTQAqHMuKUrvj9KzxEFvcRapDMHiGvPmtLPLZDwRVwmD
Ngv6Em5kFr1ohRtrx6ghvXwTlJ7xtVF6J1eJruTdMKsq2gyTMF77II/KMC4beWvAo3prIT7gpFPG
u2ihgVCG9WiPlZf7e9sShMy0flABhZ0QUBQ4yqDZJWw+EmPRkzXoyYk0cvuLdBtcF4bNQ7vwJ/N9
HZc+Gce6d0bTOOmHMRDBAyaJSgsnHI9UIskiPKyR/G79pCzenTgJHtuUolJXSw50a9E/c6dvTt1O
zGLALpWLh6h8yWLZGSEiEbQBNATa196zUe5NXlajh6uwtmqDLLBDOsFVYuIOweN7a2BusFfAu/oN
/TNson5rb3w8YJSThGbNAypjTAMpDMRA0vDpm6OoDFxpOtG+s5VkPtfBznYVgn3C76zJC7Wg1ncI
otM7Ij2dXZUCuFlrQR/ZHOVa/dUUCV02m8V0oBk4hQHGymxH9ys/xGBRLsJedMNBZfV3LfNoLqxX
ZM+0e5pp1Ri9pVjMInmI4rH00a2BvRq8qW73tuZ3e+peDCCOPnXXdtdqH5Xj0a2C6jncTM2ksbjM
lNCVluGPC2x72Gp+0rxRheM2xmXzisebbIgupXnE+RZmteVMbRQG+DmukymIcOeYNTKEREWHhBYp
iR56fQ/GpoZyHyji/loShXOBSrH0jjbaFHpFZX4bJARADTFp15lg2axQ4u8Q7z7EpSN33eJ6Si3b
GFb4dtBaawI7OUIXd9MAfv06U1JDtzLcZl1hDcd0mQwmzRM/ux6Xzpk82XnjkoRkt4QaPs8awZD7
ybMxZr348AYw7ZMEYvT9i5QTFr4I3hnt/8y9NjIVgS3N2zvAyPodPr8YIymaVA9m/2GI1ZOD6f2u
oXy5kwbE/5WeZtGTat3yxdIIpVyVXqmOyRSLJ5/mHosU2aZ3Pkf8G53+6w0jCHhCgBLDPhX2JaC0
Dathho7gtLiBDXa7cCym9CJNvCWND6pgjW63uOC34Ou6QtsiUkm4MDlxSnQXTHuFWN+9agy+/jz2
5tlxMMvgvumje9tvXeRLQj1wZvUJvh6i5Js1a9M1PVyJeEJrqqsJqesF52l9P/OMH2J++EedNnQ2
ptbZjX0jtyMgujdhk48Tzo0272Mjn7aZPZkrsufkBlS33Ah01sNa4k4/mf3sHZI0QWKjshsOnu3K
abB9RVXe2SyyIrpTMznnbmaeGeDgEShne+nuyOqGWBZIrlzPh7YaDaiLM/5jW/N2WdNq1wJer7Ux
TeXc5sGcfAWanO7TUaNSbJux5nP0fjpOszfdkqGndsEUBIfBkN0TPuriZjDwZPA+4ROkriTYGjll
wS2Kyd+dp0lfgwnFWiatoLlVi7gcc4SFGJSItE1CFgf2xdy+lqKIzrMXjIeOjZE+iqkuZeB/6FUa
fBgd0msUMk7zkuLtfNNVJA5dpdW70ko0H+MWSw2PX8ImbSPrCUHFeNt0yMRNFHAEqWHFr0VvuK9m
lfrXJt62TZ8siyaifBNaulK00NvWNKv7cgpeUmJkWLETP6lpIjfSCPUS1HXIJDB4JXVU3JPy0TU3
2ALSbm95QQNQ0IU4gynUaPQr0+1T9rHAKHUMWn2CB5iNnytfmfMEfS8GOmH509ZKXG9bB64XJmXp
RmEWq9vZMKvs1MOoKfY4QpMX0GtO+m66vOIhGFLd2bRqbmMywtwR0/bZMEDM9bsqZmQijzyyZiuO
yPfIBH1vovmVY+/4LIRWfmTDaD4FvfQejCauj02TPjQ4ETbELxUHD/NYSJgxY71qvHPz+ZUF8NNO
k/esd189gM1frGpxJNgtybX4gF+9QMv2DKTzm8Yg1d0utCtujrm0cegOir75tGZnwH9QNwIzemP5
6YpkHvos1dTfWo4SUygJagM10OLffPBd2W6K2Zxvk5nzDhImBe75z17D/6qn31dP+m+rJwooIj1/
LqCWv/d3AeX/Ad+Mlh3V86KoWeSuf9dQxh9/SnyWuuqvEmpp9PxdMul/GIDlFjGfDZXNc/4rzStC
8h9LJgTjjBqhgmEKXDKIHL7IP9sHqYf9UxB0eiiyaj57sZi3mtkBn5mLmkFTn+j7vkFvSCe7X5qz
zSTs1YDf6qoCZP3Is81YCO8wcrsKAT5nAWOq2lBE5njDQUisPeykr3MtcFqxYKUSgHjqTRJnSm1u
2OfmM0Byfb8MRCNIIeTgXAaUnt+8zLdk2KSIHNsE4Osqoz66W2T4IbjWcecrxdjd4/vWVjJh+bej
I3pLjsduOZZXfE2Hdjbn7HeLBJwtHT3BxEmzDpOcMmPlJraG2iKfiAdq7w0GGWRUj4kyVpOm+95X
uAoxCbmBp5lP+gAAfFPIeGyzFeNu5zXRAyYRq0DhpD5VvSWoAxWzVXXTmJ5MACL6Kr5gG0n8bSUm
I75Tse5u9VwUjb1KY+LiKRuGXl9riW45BzYR/mRsJIH3MhLRVu44irrAH2CmreALtwL6SOfFa+PP
QFTjr3zUwo0ormlExl+KeYqvOVxVm0qfczYH4t0WW13jv8xy7LUNQXXjRpUNscXuvO75Jzi9Q/vh
ZM1w8Uhv7EKhg/nNCdxg7IW+QUUMfVvOQz42g6It9DMn0Jzh+rZucT6FQ+42J4DZ28Zu6hviG00e
mNoDcClxNWucwG6JZR0fqR4WcwsgGy8vkxCvDAZ+jH7ftHLM7vyuRxBAEbiGTwS3CbT2oYfd/Joh
uFwpgsfWqdeWB+xH/dGOaL4aRn6XMBq4HTBNlYiGYy9kirLTDOUe8cJzTp8evLIdMEIHQffFqYzo
rhCJtx4tKwVG4HIsQ9p98vS8w8yB/yWZ0/yxGtySyaiR7EBzBB9uLBo8zlGb3QxQXCED0CQJx3rS
LwHSVOA3maEdy8Tlb016qd+2XY3FpUE9BlnmIdNq85VqtY4pRMVHSq/yyfV5qWxakNsoj+xDjKUG
tdlYHFpLfYuizn+fmTlvgpqsrxUy3f4do/Imm1POGYmyqcPUabAT5zpnerYl/oJpiEv7dd/GtjhU
geGeo8ozXkdT+ljqSo6qJk59EFc5NI2JEtquugdMJ/G1pZxqLzADn1QyjZccDvG+iGvnlqkFFPqh
zl6aMsleuaMou0dpnWRFSSTLsr6I2c4/amaBUUgyqHdMW2u+aZx+uCp6OsdFWnM6jmrfu5syFPSM
HS2WFWtMzz6Sittg1l160rwS+3xsOd7Wfgo+y42ta+nL7moApvA8djqeYpSuOnCEIT33iWgeJNOU
+zR166MlmKZrYxq8UrdmjPnc/tQ7VaDBZvQyQqgoYbcGeWR4XYPoUKNz2PUEH60xB/vbthmcT2dg
aktTc3oeM5z8caCx29bFoXeicw6oZo1sQudk44wbo4wPZlCfJoqVEGD6qha2/Irt2STgpsz3ejyO
q9Kpkf9ghty1KXApM9FHWA5u86UG5HXSGwUXxmY65pa2us0qp6En6097qEjWLWT56UUipPhAETzc
ckGia/Aw8pnTorFoHWDPdT3E8mLM9iqniKvtzEUlIyvxCEA933HbeVs01WwDT9RfLc3tdzPBT91q
jHTsbi5Vb1O0RHoYA73+oZjcMDOHZOV3jvk5L3SJFdFekkeZwRo5Ew81ARRn1EY39dAHF5Pmx8tC
ndvN+FhBYk/aQFsk1c9uKvRz0IvgolWFeTuNA55wo5uCK7T0KAzy8TpvJAQogxf1KOkqrGc7YCgW
qX48gN6LjzXJN+vYd9GESKs8S+TVDJpYaqiNTxoNkqPZ2Ma9OwFxD/GERWHXuNNHkqmx5Uf7xHJL
FPb7DgXFFyycG1LMxZG9JNhETWW+ZXJIyal18l1D7+fBaLPuLvZ672L2OHE12Swx2pNoHrtSBpfR
8ebzgDTgvSZvmx3NUHd5WjXxirfHuyqVmr5OWkXsnYgbhBelo47kzA67qDOGC8oI62jmZrn106Z5
UggKbkaHtt5kD/MO41dyy85Wv7qBrL74fel9Tqkgs9olIArxS/wVQFa2sdM5oEtRbxUj3hMwF2eN
ZrgnOpTvCQyw0w7E3CJQ17t8eIfyY+ThYELQCt1Zy455YjdPEe6RDar56uA7xSJgdzPxWZIgsO1g
eTwTxeW6G8gAxRcrjv1d2QAikSCyT4NfMunES3gg14nxhWBcPpnsb6vcJsW8t3V0SH7RnYUx9Rvs
htWxqTSG9b0GAsYWzkXlkAa0oZTPPtov5CHB0EGHwK+96iwlb2mZ4HrXgumbbslcLhIVtmtEbvEp
V71GaovjvjJQYukRWmWT3KBl5bJo1/Q55ija9LpfXXuitC6pHpUsS0jehJ9PxiqLHJ8ORfX9mVAp
w+wApFZhUPExGvffhY6lGpb3O8PT6qxR1N/7MZAwQ4cPqfBgswxOJh2IWYfjW56XG3hscsvYYceh
swRAMcga84wqIjvEJvOVNilJl4Xn/+j5/QCCCsxe01TOTnPhRAMItjY+df06FziUMaTVhwnu9C2u
NfujxwhNad3XM87cIbg3cOuQFtuZW6z8xgN6vsQOC622b0TULBSYYQxu87j0dgg/qlDp1hVMGsVt
L2z93OjGubfd8Rj0pk+0gNZ8Qzti9vRhVbCP+sbbezAowy7vIHBFU3dTz3l9I6a62TMJM/cjvr1w
dlAvKUXxAMm99Z45C5gPmBYyZuk05T/9QpOvReU720jUL06TE06QBbeW2XYZv0/vOXegE2TmrtJ4
lWEPPaq61aDSmF0aIn8l68bTmvkjrduCthigKyBJ45reozpNwo95NO0OF61wbiLOplsjZbOmv0AA
jvJbj64D5K0sHFmEL1YsmzW6sKdSJ+h2UINNzM+s2zv2u3I7MA1F1KZNWw27+t6scv8a/M/IruCl
rxzQ3I5sIp8DyBTtZZ1FYcygzITN1xriANvBCHmy8xuF+ytBsDZmDrnzFcfXoZs2QhPqDnsnfvTZ
UgdXn8rrXjSK98RyWx6OAFdiOye034W5EzrLChZGDtOgh0YKOlNX94Oex4+6qPJHcIr+Fi45QZsk
kTfXteiD0yxcTiuxEx10r6YjGOsZUBlB+5nhJaQfxn/tjHvIyo6EWgMYSPHYAHGJ6XcWjRl33yyU
lF2AKgq4ug+qBkxGBEd2PfZ+e3TypLmlwrXONpFIl6BpjTXkHaZzcTMeCVmbNzEH/5fZ9U+Z7T7E
LhoSaQJXSx2DX2kfC+EZbymzyVWLwCVsIjfgSFa4L9BkzANAeQARKrHWjdSgB1nze5tMX5i/3vo1
xIogGVya2JAEuybVw6ov1U63NKROyIRGSoRTmhvFhhjKR26LtZUoDMKgA09m5RxutDy9hj1gnTvH
fjU64EqU8JLQKVhCMNZohxc5F4Z2wyovFtaBZRF/TLPtCJPY2pZYrrCuTkc/HegY2uaTBaxJhP5I
FKfulu12wRKEM1lJTO6ltQYL1tMoL2i5Mb2f08x6nTRz3GUpoJcCLSLcN+96dOnw124pziWP37vW
eRssqtFD0XfuvkZFCCes089Jkae0GZUdwhNjm+uS9JDWnr/FITWHdRc54WRLzDtVH19IEWVnZ85y
7ej8uMzPN+mMxQiYdNuHEF271T9mfjd/TnH/6Y34ea6M9t10LIwltuW5eC9/mu0mkQ1VAGDVAesg
ZZ3G4OnYzj6rtMPICh562XzUnKVKtmxd/EaGT337w2B5+XAGhkwLybHHZvDTh89pCS5rrtODMVbt
xwza/KpO8wTRWCDu/v13/jyl56MsDAb4Pql+mVv+9FFkFGUgxQo+qjabcsM7QjJCSVL4t3//nF/k
OssH2RilKfrBuP8CzSdGcLJb4cUHWUfTFh2nfXDliFO0TPsbIvxEcDUECWmLk1281x5qGlaVOLmG
xrAU11HCt/v3r/TrLfbMgE41qgGfmvbn9Gep937SU2UcQPPMZ71oIYRkigraxjltrEllaj8QVHKf
jTb6Uxzxv/7R7/pHmLQYW/+bW4x18r38+sP0/c+/9FfzyHNwUS8CH7TEOsnROo/s30ax4A+bBFqL
rg6ur+/B93+3kII/WKr8xXZBLt4yh///lpL33UJmEJiHr1X3+Ff/hU9seV/+qQlBlAbZT6efotOj
opX1Y0OJOE60UImY915sOPMqGuzyKh7j6bEwIKzFseP8xjnzywtMDxpnOK0rvrlv/wwHByVFqNfs
TvtxzNpbXRuG0AU0/Bu13U/ecK6qTifdXJAPLm/wdynMP2Q2vdPpGDiScT/1+AtQVza3bMJDyM5X
bwgJoLphMrS2m0xbBo/j4z+egf+wGmNm/+W6LhIK+BoQ2vk2PxuEGAaxSU1ev6/IiwGDRzbCFhCc
vh+ILbgazaQ9jtnYdiAwPSjQdWRFjD3rVIPKRovpnuMaB48q8qdzx9GxXsUGLGQfHC8uY8GfhaVJ
TWYxdAflBfORhT7qJmZB/jR9Nv0k7iy08VS0/rxPbAf+mec2R6bXzQuKckJ/hoKlo44N/LpgVWkL
uqY373UiRx/w+dWXVgnjwYRuctNbMjoqt6vf/aJg28ewPn0mHb8IH8/wlMty2nVgLhHII2duo9RH
a7r0HBMcNm9JOtWvSGf5i4oGwFXXsIqy4EZ3weAVzPC6Wq8OXCqUa/ESqQHrGLf/zoSMCLXa68yN
R3/rYapQFCOtSK6dZl76mcRdM1un1kGL295WoNRg03iqD5nSUrfgriM8cEz3kV6otYXz+iik2dx2
RR8dZ+mNbMZGfmh6JmaG1Q9PmV4MT002u/fcHXMzd+i9S5ODjWTi8DFViveBajxMVTk9Jn1UvUp9
5s40danvXRXwDikWXqsvgyvX0NJ9A5L4U8l6etRb/srESP3ZrQC8RiPK5SbujQfysrrnrFflFdqC
4KooIKks9YqdrQCe4/tx5cz5Mc9rGl8o5EHzmpuqMcVd7TJshX66tAXYdO2If4wFuq8wzkwQfdRu
HdZ82XwAl5seMeVNO5cx0gFYdX2ZvFqtR5nlyboDL0et5nb5oe6QhveQb9YetR8NukjcodUXW5dJ
7sVGa0l6Vzx8E+TaAhjoxZYBn86iYVRvKNGHJ8ZONIibgf/U0uWtC+B5zCH9qwCA7SVi4ha6WuNc
g1seQhvX88a1M9ITg6QIByF4FL83kw2RwoZNTfs6JrpgEw0B9DRwZozZod+s81pyXUVcv3s5UsAR
6SBaYnrJ5bpKImCUetR8oPObzyXNskdToacF20Zl0TZiq4myx/qOuSW1OR0ncT5vDY1r28XcxwwP
3Ob7I5oDSfg2UVdsZzGxpTczd8J2K6QQBs8/VIT6NY85ZuWdeFVaJ48Jiszr2P/UZaCDVUQcwTk5
KsxD0jlvugme2oTb9RSbPJsrk2bx7rummVDGN2Qzw7fe9upLnTk8lKM54CTnRrkQyLZRY6P5LCz7
OuiVcy0RZz6UaVe/SlAXb1pv87QurfXWjKo3q3CmU0aS2v3oT1QQ1EuMHUtVvce+10GRoBW0Clr6
699/nI/QlaFip93BdSv79Uhi0ln5U/dcd5q4m6re8FdDzPUxeiM6EvpShK7SU5wnpkd/lTSGnUPA
xkdN1h63qRCS8StA/hcj5YyU6RO5Hq6J+KB3zdg3cQYE9MNfB/x0/UcK8Pk1NcpCAJW05pIo4H7W
yg2TTCXPkFwj56hiS9p3lpjQKNjj9MiRDxm6KxPEH7Cr1nRw3S3PIYktvWlSzlRjz9Iky4usqA3B
5gZHWxM3PeFRt1CC7zRHEidQF4hAPOd2bpdDsjdaFyZ895ETXQroa2uqv3iPHy45FKZ4pGAxNjJn
Ni1t6iG/gB81yK8iMYuDVsbQl+zkkMzo7UtD1ldVMahN7kCG6kh5/QrqrNnEaQc1rIm2uWqNI+lw
wdqYWo+IQyde03ZOL/ZsT2ckHsME6C46kqB3xG7TrNO8gQFVB1FzQJ2XYx8bYVjpULhhKZMJXuT5
Z1zPvY+igk6D7GyUH3Z5N5VeugGqEJyyJK7PsH3V1k14YZusME7phLpYEh5/mAkKDPGJ6QedQOc9
icdTWPeWv6kUFKDa8nktSyPbJdS0IXkW+kmRMLqXsXEPgDHYurbXXeE1svKNybX/gLek3NBpAliN
xcw9JC2jH/ZmnXrA8YCAVVF7JTF1hFjW5CFW/8femS3HbWTr+ongAJAYb2tiDZyqSFGibhC0aGEe
E0Mmnn5/KMl7W7KPHH2uuzui5ZZMVQFIZK71r38ILexUQw/nfGJ6NjqSX0Q9DTcxiAvSMhg0WPVy
zC3MGqIfvPYCpdoChcklXp9DolZJbsD5C9TnwB2BqkWuThUWHcQb5Pkr9mu1v/YIfrzBpC6d1r4H
rA8Hmdja0RFUiKI9U53RzS94yaFhfzU3mk0kWbV5g08chir1nVPI5gTXYN7WtmkfbNXIjUgS3iqJ
+wYqtKpmBereco+N16kP8yQyZl+QqwJZAQJvxGjUR6vz5jc8xN2Drcv5GbutOl5bMtwrcNoDztb6
Ee/+eTMyqTvmZeOsPbsoWe75uCqmON8SSuicfekgFEXfRvPcTeXKbAJUWVhsGyFBCBOxbxixieyT
7yEdwG5r2jmRHlcDNp67NilIlovLc2EZnOW4Bx5SbK8QLY7jJjbi8KUIYuumSFnxnqiTQzASbhdO
kXNX44tPOslkXMpeMbFoZwgSONFgbuWGibNtva78A8fN+ySa/dsQBom3diasGVdknbib0knyuwbD
jwOcsyVWNfG6UzFH4hVDerwqfRfTZiYghTwtrJdgnVmZ+UdTlmWxcfzKU0wDzPEwty22zaXR3eCH
7r5OxZCmmxkSExEOsfxSCkJMGH0B36J+qazYfQ1HkxzohHTLFYMCiS4FZcDOT9zx9zqzmG4RZUld
0LRnpfpi47XwNLcB8s6ToYoCqTxEL5/lVyZMfsbuFrV57awRB+JVRYpauocuFcl1ltbugyZjZT8j
Df/dbhCfYiup8+XZmIxTKZGyTHAOFdYM0VBWt4gnXTbnpn9nhDA163haRKdmvgxoG3bhr1WBR0+j
jejS5P7yDuSUCX5kNtEmdpHhIhsp19iFuA9zmhoXA+4Nl4uuajdgzhlsYjOAnkGRl2wAGpvfVTPM
DQQUHpI1czoT1NkevxVf2OMiy7O0fCeqL0O+R2gddXLJ7GultLa3lKHek8KXWqIIbulv7ZGJMUBk
cQCUqG4xIpr3+PShd6sx5+u7jBF0SZ8ebRJXcriHRFNcqjgcXlJbxA9Qlxjyul5zH8/XbxG2MJ+w
UV6Bpy2b8lzqr31GTZKGPuVJ2LbWI9tg9S4arx43BnxhTu2RrTJmI1qVHV9HL1O9hMyJlyRlgMsI
3AD0uHbLMZTckzlmXP8wThuMq/VNTbH12sCiQme9lL+YAOPwqIqDLbmExRr9mamM/hroJr1Rc1Rj
hky6spVOSJW0i98uHEtRHHI7bM+/biJ+SnhyaRssj1gZm34JLjY70I+9WYckoI5JSd3Hht0e4S0v
3t7Sr9YtBKYzqSOU9+CDm5EH81lqFJcVA2P8cnr33xoavLl+7hO/fRPhuxZf52eIZ6gFFgRZ2++h
xsiEqcXgPvheb6MCmKIj8TqEuIbc2T421aMf1+U2k67Yz339GVSehYld51GKUZ+IlmkhyznOwwhz
9sNExb37lxtHc/xTU2thKITKygtIUyMU78cbF8Cw8wlrknsjBX0dZeU9aaZ6WCVlADQDq46jiAVm
jaz4vEdBanJOHdHY129ZQ93so7e8+/WX+pv6IqRtw0oEaC6gcf9b4wvuzRpJY7kvIR6JNflZ0MnR
A97Ok8EMkuyDDVvzvNVCcPBEAxVUhrvEjZ8sr6kz5rCunUU96M17ZDz1OxCbfw6YWGMQ385LpsVi
SN5jxfTrb+7+w0IkvjAAvKCpXlwofiLqu/AwmkJP3V61nGnaT5ts25ah3tUaV4ImraZNiPn619HW
455ggXhnWPZbkDUfpyoW25TEhq3hTjHO4mV9N3a28zriXnmXziI/mWYpPjNyT9RdEzfVeOqSJDhE
npVvEGfPu5QRPl5ocbaPw9R9MJFobjtVUq8WaNApIOddxXjz5CRU8107kLCw7DC2MxiXMe68J8P1
9dcyiE13ZVcO1Gkh2WNJrKTuneriMGDlcVho9TTSwUxfgv82xDaMeCu8vEp24mutDujWnquiXfaU
ECmik1PQh6Ur0SGnIKwib7a2ihi3A2DeZgwpdyNhMWuSEMaXeDZiDLNcu/jcCQDZI/bx/njbRlPM
TUqZuxgKYsXWjfPEXA+NiApjL0Q2kLLg4lEmnQ0XVNkvdeTgfNYKuGa+NxfxIaek2UTz8htLOG+0
MSVw5jpKPSsYCVFAjxCajnz3C6EaTmNq+s5MmN8SjsIVx1VYbxWbMP4FilIetwaT8RNFPu20uaf7
ZosNHPnRzGg1bRxH19I1oAyVYTPfqY7Gjdj05nedDZglpH16AxeB9ymfWJFzT0ORVN7w0qfFZ7+j
f1ycgl6DqRAYsuqUWJfl3oX5FKTHeebmc+gYly6zxRXgPediTG8iuCDVOnD7gmF/UL8pprlvjsbR
vmdwSxYGev6dYD7ySCca3OoWmzdknNPGKyr5kaRg+VGRuHvAxbT+3C/wA1rfxc2uHzG+nQuIC7qY
Bgz1Y6gdMqNrgQIPUyP1z6XohhfTGuytXdn1mwuJ+MZ06LAai+5501UzJ0BfW/KjnQEotW3R3Pd+
ijta5LCb9FEVbLAWpTOKHKf31zWU/nEvzaFCvGrxh705t1/qSnFXSsbaku5w5abOvIep0h7bpgWV
QwocrlS4HKGLBevO1cwPitJuP03aD5C2A7PIBoeC2Gq6Y6r96taDh0r+XqlvKtN2ER5X40vg0Ef3
E+o2Rt0Uw4iC78scfIiwPhCCqZq/Bryl8zYN5uY19yC5Kr/BS7an3caB+cGqiP4op8RbWw5/aWUs
hfPyrRUEAWsVpOjnyT9fnoGYioO1vKpq2d/NPJ/IkuKYclsFB7grM2+VkUe3ZdIPMrI0r6kyaeAT
5bRnbCp4MkzsWbbLWdxUMVp+sB59ykXAUqXoBdcRHrdqASXqwtenOfb0He6rmBoty9BWQDAs79bc
q8HQd04M4iGkbs9XxKcSLB+i/JjEQuOCakEXXMBlQhVHQUV8aHA7RJ67vsIDRmxwG5yWzhbAkVu/
AHlzCpU1bwCEID197cgMuiOTnVpD6ZhiZFJgYQFMu60JM+NCihMSGQrgkD6FkmzAWOaxHUbAuYrg
sRUZesVBzVyRidsQIM7MK1iHGCXYEYm1QDsm0cKDUW/DjCVYAdxN26rkjYlV6T7Yuec+UfCYEPK9
UX7sM2jP7GF5+wlDeoAyt5/aLzGpTFsJrflDZfCaR6SkH4wFXBE47uUsYzs6XpEaI+A8Dyg1OujU
mGHirg3Y02KUBweQj7/iN9dDUuVgt1WdoMQ3jT9MuGyUy0QlkjpUUiy10sx335ZmCnTZOEBD1cLv
glvPkKiGyNMiVb4Netl+qi0wNEvGYGrDUitPpUiYF9JprWOzZ3OH6vheF2H9GRkirg9mG95OPvts
PSXcwsRtuy9ETvFA8hy/BWwmgXI8yvM+451e1nPbLduwjGp5KiT53sRx+dS8ecePc4jq06IUeE4W
1Ju6ZDkFaNA+WwFLwpkH+T60Uf2WWFH8QFQTsFG3rJ8c3jitDmCkx+VEC/p1LW+DEIQ0zqv8Uk4j
KBLuxhvPt+zn69lgQSU4DgETI58tH9wJEBVNh/PgxwYW93AVA9KVKEOgcNrPU6fHdVg64Gc1lbBD
O7xOvAzWD/Fa0It5kCEA8UEXZnWLZh/TUZsXp1yeAdKZ5lXKCfsebHcozieL3YzUuBc9USY3Ofic
WRf2s1FWbLbsY59qGTSvWJFFR/ALb32FBMce0DKwm+gYQ2wnOojyU7KbNAhFGPrHGHfu2lpRnPQ0
OyUv9iI8AwVliA+F2xzrz4VtAFBPYMYijWgVegpn4WGiYgMuLxwaFs91m1U+dwPkSJ+62ok/0tUz
DYbSsvQTUoFCdQK+KqDNBzju895AaqTXoxy5mXCcbphSyxWBvZxa3tjQ4wnWmkEysprAy2wCMFP4
dW4Lz6EARFy2SoEqeNvlIn+YA5uUVA8m5xgzAxdwHWm7gEx4JzvQ6ar39Z0Py+hZtP7wh1/BboX3
zhSSAk+s05AmpCnq5nfcyCg5WjkXhwxO/4rEw+QBy6bP4+hy12Yfdiu+MrwqIyQEEBDmstU4tZ+o
SjJnNSgNgQRmW0jdMrjp/WSYbLLYi4wvZCxRQWpINOPAA9coSu5IhYgu1/97fTF1mXHEGNYAZZQg
jkvDoXKo5l49Kht+BVEp6U0NT2IrUqrKGJttIildVrbT+DMW1m463zXeTEc2+XqnMMIbnLkmm0nS
wF6BYl82nx2bznRaqgCtWloyvNqHG4AErng6EFs67YfAeYW3n2zmZRLTA6hsyZXiw3AVCY7EvdTf
JuH/HVX+y6jSWuwk/1LZ/00ofKje8W54++uk8vvP/Elzd37DHjBAmY5MHB4BY/7vg8og+I3Sn0aK
JPM/TZ3/1Atbv2GxgK2FT2fofDP8+5P87qMvNpkremiFQxvh+X8yqXScn/TC+FhSOfO3ha6wUer/
rNAfbCgXc6KMQyRmBamowP4ni6KYMHfTRo0Jg4VKThJyIIflBMpj27r1kq68mz2qsTW50/k2MtPx
3cd+5YEkk+pzaGa6xuAnByjjp8qNqqN+V1Zz9bl08XnDt8F+6NLJ61c4OAlCA4tgXudZGZdbGRbe
TeoFT3i3FpeO2fuDOb6VddfhIJbkL+yD3SvGW6OxnseimqEUNepN4mmrcBgmGWFliNiOUMVUQuG3
BJ1/23ht/nti5MyyRLfsd9ruIhBHDHVz1UIPjYpwuIu1imDXmNHsbNzODpwtaABGMB2sLyh1AaGO
LacPKQRJlNyKzB+DLfpBEhUM0s1IkDHy+ksjwYpq6k+8VDRNB740J5yOpi9BOVavOPIw+hqDmENx
ytuzbrL4zYZ0tkK5CuaMlAvJIyl/A5lcKg2m+9lV9aMrdB2upkC1HRlNk0/McJrfB6JUZyRKsP9R
7WlZH5AmDcxU8PGEdditPAcqtp36j1YrwewzUTK2KqyVUGXw6LlWc4iwkn6CXyyx8JBy60xa0GA0
VHEVE52j2yNxzfQ8nKD6IAWcpdUex7lIchL/3BA/Mbf1bwOzJHqmw5D/RZTN8ERKQrfKBmtCnZyP
1qfUz6NPvYERdTO57baC4n47zUjv+ir1VvVMTNGkovl2jq3hY7Hw8NZuiKHmFHXtKQmC8SuDlTlb
xbo3OB0LZ6lfKtKDSLbJQGdC0klwlB3vCkN1RKt48I1anRXbWKrWvSEVti5XdjbJz1mG8cd6Aghj
p2xF/FgFYWUxTdbpJWly8dGOyxRqtsunYWGKJqKxs93QJs7JsjMO4GSoE0wzljxVXTcbGwOQPcbc
4yWGyAT9MFOvDC66ozDL8I+pm/xuR/xxjARQ0Ixt4cWHF2SM87SWfVwbSGCJ0E5IQs1X5NsZsD/x
Tf7iNLVgDJngzxObcwmq3kPBK63qmeeYf5gsmTz6KpN30tLJ0e9sXMutemoZDVfYcHuUypCjsvo5
EK35gNq8hnLZ8udWHTt3LXxA6heQp3s6sjqVqDZ4yz8pphFMSIs4DB1ujwK7aI6gnia/1CC+xEeo
cNSZd5F1qMzitjJNVZHDJI0e2vwESysaMd276GkU+ogNQLZvJ+/RCjAwahx/XlO4LKHEXfjEwMsf
t1IReoJVhl5ZBZFtJHU6IQKMxkZvWEr3aRjcgQoltfp175CFklSpee80pbrtaa1v4Bm4K4ZseGnl
OsZ5csy3sIpZirwvF6JlsAFKx7H4oKJJlLfe0BPb5aeUDuHGaebBfHJmOZXU8eCs7r0NqLmfhu7F
QVd7NvKAYR4l0XQQ3Xgc4QnfAQN3N2W/sFhVgSZvKPW5ZfJ7oGltV5AL4gMjvuKMCVl3KYj0JgAm
S3eRCIut3/AgMawlXhjA3GqTe3rO1VASamL26e2YHZsp5W8SRnsz+FG7DVOUE1HiEnaLCjizV6T1
misrsBiQeMa0Vq10XhLmFodIEg9kcVt2fhjIh9R0XsOhIetsxnaTAbtxR8BuhEMNu7UezI8VTNtV
FEc8ZP3eyfHUz9zDqDdPGTRZvbbC3NyZMvmgCH5ZFVn9EvjaP5RB88XliW1Val9M3YWbqC9eYtE9
eFOWPfZt9cmJENrTT/qpNnclmdFg5uWqJFsIki59tjnlIzmMBf50g2qCvU+Y21p7FcjCKFt/NSfe
XZta8tgJeeqzCPP3MBhvbDE6G0vCTV9h/2Ju/DBPjmgunJTLa+bXhJnBHfJ/Z+ehXUJ85Jw8njYG
FB36X2OoLjhh1DeGW+H6pWdWk67ne2TSWcT6QaYRkNdxbrUOL2Lu8mQTk/V9zg01PXhh9+7XiXmE
D2qdCDhqt4acArz4XEWGAcEG0AmwZYuffbOLN8jcMORSLqPjVJab2Iv1PRxyRF2gVh/mPB7WdCPy
Hszy7HZQsoXIodSOI8lbXV6uOwIVnsYiis6uHTkrYkOITUQHQ489nrBWRXlqiwTXv+gtkWZ7tht/
erRVqE5pJ8XFQx/0NEwQN3uBCsgv6ZsHlk5mmB9diTgS0zBExplCIO7xTe3c/zKpUV4CAuvWSKSQ
keo53A208F89STrtPG3lMA9wwh0CyTumoPfsMcZt1qc+kdBJ2V6gzxab1q/yk8DiA9qu3dyESiZf
nKLg3Qpr0mX9fLiwCAtkzGbxmLlLOA3eaNvUIz7IssxHHyeNTU+XdChnIR6LQIQbY9CEME7WZ0Qq
CMstI38qQ6Thbu/bH/vagcKPhZnFykhyUKvRXBAUv9rBccCkAU7lDcAN06bRC4+unPS+ClJ18HqO
SJXP3sEomBR8g3X/Wyf/S50sFsPtX9XJH9+oI6sYQ6O/lsrff+x7qYxBzm+41bqYVQGJu+5Sq36v
lS2bMhp9pv0Doc/Bg8fE+myZAnwTjP4voc9xf8NR11r8sm0GA8hM/5MymSL9L7MPTNGx88HfyaEw
xWyNAv/H2ceMWxnU7cE7l2NRzusqVcMZVXXvrdTUys9/uTGP/8Y6vn4YctSl+oenCH/xpwlV7CoH
LKx3zokByYswKGha/Ri+5GnfeRDKTGxXSSN6C8es2/9/fDQ0EDz1PFza/0YENnILONdyznMIdlqF
HV63o4bKt/WHxbg2UBYKVrOjJZfRDBT464//kTe5XDmzHBs6Gp0ND+7nj7epD6oQt+hzUULkAQIZ
+xapE8PVY1ovH0fhGtz++jPtH0mF3z+UpQIHmPedmcyPz7ZqMM2Lm9Bmy63s5wqn4YNd0qPvfDsM
XxrA8VvY9Xz4QNsvbxKQ23evIUqmMGDgrFsP4zeoypnaS6ND6g/i7rzRaeH0ErmjaZ2wc4VJTGyQ
ARLdoMfbqKIS4l8ooD/2cd8uA/8zd6GsWyb2cj9eRjBR+ig/sc/WYLBWhsI5qGLI1S6QkA+LVNcn
3ITl+6/v3o+U0O+fig0W0nxeDH798VM9w/Qz5XbWObNG6FPG4qPqV8lXM4Mcqq1ZXVynse5dn8YJ
ZfPwb5TUv7+YeC0yxvU9M2Td/PyujGFICmGuLPQb2Einywujw0E9xmNr3f/6Un8a2F2vVVgkSTgB
HFv/b2568BV6St7BOjuE4F2MJoHuMKYWRs2REPIdJY7zxiG0vJ0mLFKOZl4WIwOSvvqD//rb/NOF
E9nAbmn5LnakP61a28FoEd9w8zz0LS+J40dFTTBPuXDkKihiv/60f3pJfLY93kv+67s/hzdYDZkr
hhht9L09E3HNTJWRnqpPA0qgU4nF6UGM+HvjA8Eqhy9j3ZeYWsV4BFnGtLIyrMkNb1QXxIIq3uYm
MQl9vvQtvYcVcjKC1VX4BqcrN6jUdEQEMBT/NsH+h+3Ft3l+poU5Z8iK/XGxZkXMAFiH1hkTdlxe
Zh8z3+u6UX3ZvF79jotgYt/T3MCSkE3oZcjIITGE7b7R0OlIQnJa1J/TXHQbKzLle9CZ6vLrm/1P
XxOONTahkD8d1/zpaxoIl0egFevsgmYiRFhuM5UMfF8TimJbdP+2su2fF9MSOQbQRQaIhWEcdpE/
3piyj+3MzLU8T+QUnty+dN8iEgv4H4Fv5GAuuDBzIRKU0ojoK9geNAYoQMOnFEIMeqpK9++ihtWc
Qd69MQ1eAkB/Ns5lTVxvkeTU8GB4ME+To48RvCWCWyzknQMhPbhn6aE+/fo2cgV87f+j4TvBYnzJ
cxasXBsN88+pGTOkSL9NdXyu+SmssfRMQhbav4dWFLrfV8yQpzWNKHFatkvu8DodyUzdhfjsL1bP
TO4BYJtwbaMR3ppl7+9gP8EcSTyJjQstsRYrPMuieWOKGTTETCbjQ2OUcQ/Rkandaopxw4OS6ydy
Y9omb0Ymp2HLEeDRfGVQxhyizM5IVJNTIEu8yMqgvh8zbLY3Qd0Re9XYhfHJYpT3YNW6+AKHCfd1
6gCornpGb4XQOHnXbq0Zfuuk2qQ95zfJBW4poBNlzSOmXrQDKgmJhUK5a26AiQOcrHzfaF6whMsW
Frfv4zbXIvRuszj3VgAKKOtKN+4Y4Hih7tZwUoLfW4PE1KUz7/P9rOae+h/GSXewW50CHxJtd2vH
AyB0A3mIgVv4BBJAk+Q7MAbOxoR9L87PfeWukXbS9pTwJxtoLWXRrRX+gdGGJNnwBQdhjt2cNYJF
xmLfWesQYkSCC9U1SMK3eihbZe26b5KxAKHSAbsNJSAb8dhwCshU82NMc+FhR1giQxWMCkKbLULj
byGx5AMns5UgBMRJZ4B+eWQon+k7eHntraHCwNrFuka/QQqwCg5OnCb35Cn2XwLs5YE1EbXf4CrV
bUJMhO/hXXS7jsDruq2b14lh3SccItKjPQZqw8STZFoSXddu2sobfCOjHcGr9ecylO6nGj7xqvWa
5J2Fov6Ihyjr6YHjamMOPB5cCXtSpvEj2JTAW2sWVmkCYUaVQkKsDUOvgrp/d1oaH+WmcfNskIeV
n8YqkLlzxMUrLJ/9EQ5GyAIodO1vSCQLiOvoteOjxl0IhpHNr5Y92W6zZuaG8cMq1SSCorXPrbD5
ZDD2EXzdPKtw5W51GewMcyl+ACYvdZ5zp6G31icTToRgtzectzaYYCdLsghIyoXj/EEZkidGXgyH
gtY4mox+yL4CrT29STWrcpUEoMg7B+99JjCWD9uukzxZDzZdATSK1xxD2GAzhRPLq4olj35himOu
Ep8HP6Cln7XnvEXuNK3i1KRe7YuA3aic3DegxfBlsplyypmJqjcwhTZwh7v1nTLcll3SwrzjDQ3W
cIj46zWhZ7zLwq1PlHXRy+CRsAOLvj4xdbSfW3MZ6mgmprd9P7I/s51FzNEZ1mNNYvX8Tjwrrgl7
TOveNk1+Ax45ZIrA5eZ0Nif1qi8E/0aXWNk91n1sMQjngtsY+s9tuFgm2a7HoZ4a7KjXPZIaDoGD
yyHqw1LbR3WAK2y43MqwY7Yq5cA/Xr9tibcA4GXrqMeFygps5Kb6sb3WInlB6t4DtHA87OMRg4uZ
JzLiEX3SmDM/j9Ycbm0705eB2OkXUWRMVRcPm6RXjPn1Uj1qm3uPyzoXxSvJJ+XJKN+haJLhsfzT
2OmGkOqM6tNcYhODYglhWsqjpuC0bcO4fc3ykupXpVJfroXCnLfIT1VWeG/2ImvIZMGjbfkyYJDZ
O8DDQmv1hTjUrWHemwmvtFdH5j2azLy+ZRnx7Ozl21Z1y8EjyRtAOKouEFspwuu6DbeulTev2PRx
mjP5NbpttAS1eHKGVDDW2KgfWtnxzUd+ZlzV9UTMYWt0qGeuBQ44NrbWc9a/f2t+xHIm6yxc0kJc
ImDWUOFJqPMbb3AQy2uCR0rXeUt8gSsFxw5fsLEVgB8RIVO2bUor+r0wEj68ur5CVuRmajeqbimD
OHlIEJ7OgTPJ9yKUPKOGKBMbf7/3MLY4gBmzsrfhpyoOeYIOw9IMTtkGxMHjSd9XEsI1l1OfYEd7
lxS3H70yEkQGTDaxUYE8bN33y/J0q8K6N+OMkwkdOX9zNlKuOkGmh7tmio1kXyYRPaDlVaxagthx
KA74zy0MWxZw7+TcM7QM4YsaU5+Zf9AW274l61LgOIBLZ4LVd1JO3FPVLIDndRPIYU1ddFpxV7AD
QNejXXFo4bGeGm/5+HLqoSkvb33RW80rZOL6FMY8Vcp9guIjwVNNbQiGBQc59wGmzims0ujFwMXl
EaaI99YFPe+rWZTl1k5nHBli8kJuuw4FG66srERU7JY8TSlbgGtRo2+trmDzgWcdy8dQRfZ0COrl
ASEbYmuy66jdlx0JLkgpFOIa2lG5nfGrwNghIEYROlFcPmmTTA6RQSGwDWRda3iwHE0qsJ4n0XGT
hc2wAMvNLMRMIg0xwIgbXvQWIyIirLlCTiJqZEQFxAbg3nBzbXjhMmIfxRzvGRjafk7ZuvFkoaV9
Hlp+swb2FVtSHfCCCiae07VivB6besZyhcE5Q3ERLMy02W0wMLcDgwGNXW66YaCTWe5a12CqsMkm
q5g33fJ1rkSIPI2ct2aAcrCuEuyoC9icF3PWsCx9MTMsY5wUYKYXsx2lOS8XVE12R0JBXbFKWPL4
LWK2e0nSCAOIafTbvWYCVm7dkMyeCxnpCxlmcvJ5bTDXf0OJwqrh38YuG6fI56IYnEOO+wAMnRCC
27HErh0pPLOR9sky7YklEuXc6Hk5XNLsuvcpOzOwsLPY5ClF4qUlx7FjXqhp9el6A77tRUvjPmY2
+8KysYInc+Jc1y5OnRxrqsejUwFl/95xDJ2v65NMhOiG0dZwA/Lr5Hf+ELBEAnNgQbn5eExiCMPf
F0Q5lcHXxh/zcV12Y7fHvCPc4rXlvsUeWMp1VXjEbc+r3I6se8+BJ2K1OMlm7oI25NLA28KrKguT
BJeg7rWecwKdWhsQonNR26/S5YIMhFgktHbMFTsiwtE+Ugh1G3pP0pEcLoElZz27iQdJxSpi3iym
C5ww6DzFDpa1ehyymt1epNYDVNsZ58+ZRW1CNh2glfCqXHdAJ+/zclOjqwRcjozl+O4z7pLwJ16b
5QDCACpmlLjGKYdNoY47rHqhiYdsV8PybbOh5zUTLVTcXdxodSkZBXmrhlbtJSTa8wVlCtc96DFg
ddsOqeeZ0ylr1VELzU+QEFO174exSh4sicfygcBh674zR76FG0AW4eSvWe0mRmbdc+8OFCGYhxFf
gsco3C61XK8fTo/OYPtPQ6DKB1u4XxIjMtZ5mMm9W7Tmysfv8oQMLvsaw2hd+fDsV4IQqZykGBBw
oTges7ThRNLpNK97IM+QCkV7L/gScJ/Thgdau9OM0m/IxA6zRzQiRMXjKYkpKuYGTXYnHGlZa05N
rBKFrfaV1VR6XTSwdyM44V9DVSxkWoLiH1GcsMI6affBVsFmNY/tsvkfGY4ARJIbRU01OJjl2kUF
76yGe12BsuEaV0ST8YRskcfToRcAqSIwfoaVNqtHEECCVwXkY9Etm387UuOUS0nXJoG65DFcP9Kf
DYJuJ96ZpVHOIc2cJhHyqobI8Am1WkKMkKQANtmYlmycaOKbquthEiXs27Bd6vyPmhqT0yVswm22
nOGWgR8r/r+soGtjGJtx1RzJY2jY8nr2tNrDZuEEntYxH0KXkS6JNFND2Fes3PDFMvoliwrZqidy
7MNYTphY4OSqdl3G4TaUMbvV7CFuHZf4o+u+ifkXmyM+mWKr24p3oljqzSaCDlZ2ENE2UQN8NWEc
/JoXuFrUmP++dS2vUF+weNLIyI9G7e68eNmZ5xnzyjW9XbKHWZv+4YyeKU/kaPHG9QbUVTeHRHeN
gvNkC0ZicDKXeRU4TOhn0z/QsKl+jzvdsAqGoSPRWQ74Ytk2/sCyJ2w6n63nILCA7PDzTtfgPNwS
P0OItIoim06i9DhYvFF7zwmI9WZufXFYRlL3xFYv28G1ZHbN8qsX2wpHpao0Yc2VfrD1dG/v+OTk
OekG9UEtWVkJllwfmiFmus4bwu5Mt4Pwkew1n9loia+0dhrjsTM8IpIopyuID5DF9nbsGl/gVbvv
WTjMfxRUlV9rIqkot6cCobWnbZALaWICLusbRDfTJ4evS95yFBXowNoqa7fQ29qjK1R6n/qQnOPM
Sz+WTR8/edT4aj2URGLl0jVvdODiziKa6AOhVPmXutX8TW5lppJKuQrjx7ky6FgLE3UtqXkmszNC
zrzXK6zw3wnPv0x4AOZDJCH/b9OGh7x4A0v4gQr1/Ye+z3dC5zdHwMRwbXBUIQhP+L/5jikY5RA5
yhFjLgMW/uhP1wZ/+ZMlWWOBtv93wCMEkQqu65KL6tjLz/1HPCjX/XEMAGQe4q0Lom/xDRZK1E8j
nm7MAR49+C0cPPCgnIJ8xbHfibIPyKwmTecA4QWGRo9E393mnTcY6NXd7L3wPZtaWJHdSJx8WYZp
xNZviO550G1xChBYMB3HSOfz2KX+qzuTJZlYcXHqp8zekG+K2JY0mPKIzoFNn4iSDYnxiNqa1qhf
K0Ie70YNMfam1NZNPC3k5Dmxm105Tl34CtNbBPvATJbdkzfi0zipIXjUEMc2kDuSW3hFvbMVV8tf
0iiD9G1cnIAht2IKXHd1Hu+aJYABToWZ9IhMitJ01tjZpEhAywnhyXSPkxpxFzuK+7m5Z57L5TJz
R2YLozRzoj1VsOjUtqxb0yiPFYO5gDPFjqCvbVAul9F9YOOSCkGk4H7iz6TLYVrGIyET7WEcUcqS
KW6ZXyZkitgt5UnqIhTLK+mSAlZldZSvy6HDF3vlDRWVBg7KBqgWRmWcLUkwY4y3wTTMgUTmUSM3
BN83duLnZNvg2Ji9z5HW0s3XPbZm7maM6xRhpO2M8Y2dq6i7xzLBOJgUo49mFkRkfhl4mY4ONCaZ
VIfEQEsUu439lBseMXRCmkTaW9V0tkhC3Hkgi29+k+VbVJMF/aVONiknxG4Myvy2Qy51U0unPNR1
P9zk1YixX1vV3grb/OGADhSn5ATRf1nVG+El8YOL3Ho9JoXaeKhmNk5PLZ15cb2XM26iHXXlR8Rf
cDjyqCDw0hibhyLzPuR1GZ/JSpOPUzL656LJx9ekBISKQyTmXZOoM+uhJs++Tl8KCL+PZHHqjyQf
oUeehmExs4A3N1mpfx+GefRCrKLYcz4YDwaC9B6rd6xJR78Tt5EXFTcGaP28saDp6Zem/R/2zmy5
bSbb0k+EDiAx9yXBAaRGarR9g5BkGfOcGJ++P/ivOG1TbCn+uu6L4zhV4XKSIJDYufda33JgggWZ
9VhbWnHfTmNKQEgQhaMHWlUfvThv7NEr6Vnui0ZYBCvINt/A4Jf7AcbebsjS8ElH93ThzouOVavM
4cFwEX2QCodQY92lTfZLG/AXUXJSqKzCsiDZU5ScKZmhwtmd7X0zmA9Jba/bpDOw3uqjfakBt4W/
Rh8fEm6DmLALQ15K41j6zJU7+KUTv3WXtc0xyqziqWnHYtcHODQGET1rNV4jWknOgV8630yVbnh4
IYkVIePuGFhtdCiMsXkINX3+1ulznm/dYRRvCc3bC2Uu7ISXnG4fhmx0t0ZSvfduHfg04etNhAaB
X9BO7t3U6b5BA82ep3SOn/UBkSBGbyd9rnmtrQd46IwpZLNTbeTULjCOLZ7RC/TMlkfOakbwqw4w
3i1w9Y+tO0BuShMQBejs4OXHKYe+OYlWpqXGt0WQjIcRLR6WkjAlK1GjhxOZDslzMYaotaHUE6Ka
DnR9METLdZEr284iL8TWXKGiONBNLNb6ZIonA631jVSax3hu7pNKsX+OZok+Q8UZjOt8YFjpiWpO
HmzGQxc5FPtLVSIts5KW42Mc7l2jta9wwNU8Gl17P8NfRXiplm9Wh7WnGubyVg/c+ZUalBA1MChU
MvlQURuGxmMIf8Wz6gy+PtThiYwFN7xiuNx9X8x6RZmF4Mpy1ZvBd8we1eSBU3r40uoUbNlAgdz2
9SXHuWFjWsO4jvpO/yYibMa6YguHuf4wXWKSWCxp1kCTQwqFJ86IVBzao7JtSk3BUACB8ZgmLeVg
JTWOdx0lWN/Gi7EmiDlv0/tgMCzooN2Vg0HDIw0H/b6XgfOaDjmVN9lVlOa/22R4x6Y7AladS6Kc
zZfOJKyOtj1nJPzvS/tlOeGHWoFwq3Oilo4DtMPfmvlJU9prG4PetAqJSV0zNSTYs42jfZk7oPMr
iF6XHOjKaxjzKbeoiT1bHd9q3nl32mBN+5B0KTxnbQjoJGj34LBdZOXGeKlIEXsuyN43o2zMX6Vi
/IyrWlzSkG6lN9X5tMpcjIscI3jIlfRqGCPnytXT9DJSCRBYJfNbpAo8lOoy7hjHx1Jt7oHNq56j
NREARg4NcWdF21jTTPrqs3ustabcMFyP6Me0Q4tTN7rO0j4EJRAHuMMa7Rlit7EjxFPd8ry/JXPh
3NWYi72ozsoHgDLsIFFTke6Y5rD4AzO7AoAcerjD+6uyIA5TGcYJTHYOIdbQtPLInZuvSWIbbpmU
Nz8RBSvqSqCEpewxnKeQgdyBTzitxVAVGM4qE8Bhaua3eaCY20zQQdQKCZgVZC9aXDW+RAxgo3Iq
yp3sxm5tAKD+LuAkrjOHkMneTn/IVntN6iqFfSfmy37IQ/J2ARPRgCPqssBQuR7ziOJbH9tfmo68
sdOm7j5RLXMDDrfZlKFD19zBN0l3KbiPe629tlRb7gZXB/nQxs1NHya6Bj2ZjNuVwXiJPkuk7Ifu
gt555JnF8NqooFKIuOm24eCkP3OHLAX6RvyujvMjcrL3BmTnXld43at2uliL+P9A/Lk4tU3L72MJ
4oKG75pZuNgKGWuXc6Ukb26CI0tmJG3SvlBWBkOYY0Lj+yBAoG8rmdT7joJk09WZ6+tMAbb2SOWl
4P3fkYXXX6DbxSSfjcA6pKYoa3WR7o1V2W90kCtv0hw4GRnZQwwzw+umyPIRntIZNK9mY6j8AmoK
DAdXbEvNfKvV6th1DqVDXCQeTuQdW7SymnTGazGRShFJ0ds4nakwMtViQF1e21VztNV257Y1E9+8
W6k5hjvaz8jlZHqAFR9ui6ZyAHdz5qNHILCiRQf0peE2MLIrPVeUO5eIw11mda4PojnEWk5wdlrc
Tk0cbZnWMxsolcKzsuno9p22Bi9AQLMEoiznqiBOs6S9FnXargDkwiZs6zeKHHFnuor9AKIGKkIS
lIwPtHeok8rGxGRKXwhIpogrkxdZGvE+0LvjIDT3Lc6nemMr3H6gaXxr7At0E73DyxhVe28y1FTd
qtuPeeP6SREqdFRm55DL6ZjF5oLTefz/Z6lCxnL64iyluQz3PztLXb3ExfufQrn//C/+c5Cy0Mnp
lmmgh2Mu9NdBytYwlSAb4BdHz4RU43/OUYb9v6i7eXfZ3I7OX/Q7g8OXidUE7h0CFw569n8vlsNY
CMlAB32H8VV3YS1wlPszTmECt6jLiRQakqoY3ZrTFbk/f1yNMxI5vsUfk/1lCezWnP2IgOAjo936
e4lg6DIlFBgbe8Ld0pno5alYORaX9H/Or//FKsun+IN316CBGBkbYOUtfrTKj3J8l1+B+776Iif6
KTsuDcLgWaKb2WuOU7yu59fPv8XfchKulSMQLZmWi3xHcwjB+vtbWCMY7h48uD/wWln1iht6cVUe
87zemREY189X+/CFfq+GilN1OK9/QB/aozmCoLcbfypBKaktf8Q5fd8srLL1v19KE5zakX0hFj11
LqmtVY0YkvlikRM+jIlB0HbSa1eqRF/++VJ/i+v+uYboSBf0IcLED6AOLTXVCfp140N16y7TDAWE
1cA+D8YZbDJm4V3Zh9MXir5zl3JpRegQHTnznWrrzDjQhII/w0fOgFvR4A+L7DLi1vnj8+/3t4zv
n+8nsH/ZNuooIA0nzY9Up8NeVUrj51OkL7UraTxK7SQQWNSRDMmmvqWGHGHmzdFVB9Pgi/WX5/X/
KnX+sz42OAOd7bI1nTzPU2hUkZqC8XByZdxYdEqJhBgeP/+Sf8uB/lkEfAkqQfStOOvE3w/CqJVy
kq5ofClrbWcP0cCo3taD60yosz9PNEr7zh03ZZM328+XPnf/YK8zBVG+v3XEfy/tmsaohUJv/ISg
og0NU8mZdIlxsRUV64ge4vOYoB9uPl8W3efHp1/THEipYhG+adqpcK8lhSxBDNn4plI0byU6ymED
nQr848JWNMlivsOshF4nA0dJYwOOQKvzEySjtkNcNOziqmmeRDTrDCxm2OaNtI/CzHuTI9M4XLoN
dRPoMXWty7Hfks9IHaqKJf8l75IHSObjCs5TcoGD3vacsvqBjwR3EnyvDOuFDykVt9eiPVJI7lin
ih1dMQiZ8Gd1JUUVZyCr6ZJ9pGb2herM1nclt/HgRuYUXam1Yl1kIeKuWWUcSyoNZpYw77hRF+TU
TFTGZefm8yOxl9k6qqilE7t+s0RuH4I4Z5at1P26ted8Z4j2EkC5fByLyTgOASWX0tnZpmRAsjdy
DrRZpxnblgn3yh4r7cpROVokujGu2IT6O90GRG2kjry054QjNCU96SVTq10FGCv9MmHbDcsuOgZJ
P7y5EusQySVd61nByG3QJ6wXz+8D0V3fiBdtknWOOOLRGiDZ4uTR3ptmYR+YrSF/KRzMIg/BhHxy
RexE29FCLd73Kv/QcoHB6l2VnNDlKkfY6DFet9Z5FcjLzAp0uUI0k28CoHbIx1oMONjLbK/LEuWa
c/W7bBVO1JPsfibz+GjM4t0tXPP7KIgrhv4Sf5NEM+xVeCApAhYeJMa37xCJGncVDRBzEhIAVwk0
yRHw3CyfOpV/Lx/5HMlop4fcNdsndLog+sbavsidLrqq8iHY6KiIoewN0XHIBKECIAfWblM12wEj
2q4UYqanYJGA7AZTsHGIokw8OgbhAf2F8EkYZwExW15dJ5x/cieFBZb092k5d/eyCvjLDbX4KsXr
Q3YA9lSVyfEBaTE2GwIlNmgLjBvH5XIinIP4kjeVWAvKpms5uEmyT4SVb6usjusVKd9a4HVNoN0h
mgiPE5Kj+6RAbE3TApoO0yW4fmGo7jSjCV4DBLyQRoQSXIvBLQMP8ordrQyt6AhqCIwbso3EegoJ
IxmJsz9MVVMjPrG1Ow0UxZ72onUbKLqyA/mgE12Sh5cM/5+CvJ6PJNxz6h3RmftdVFuCyFRiNJjq
Z6NHBzd4lTi2VqSCMn/U6UrvSiiSvwyEGr+UMJBei5vporE19zUCnLUJOzqpC0tDxebEYDMo3eV6
BGpqrRFz/8zqlivZ9mO2QbynwpXQJj/HpnzJ7Md4UOlpbYLJQeOAtE3bObAuduZgDN8cEfQ/isCM
jmoOPARIVWYtR+IYYU/c66vc0Jw3LW3loebwct3p4/DS6HpxVXShezNqs/6QufB3V21LuupYa+bF
IMLplkMxOIiqcW6Z/RUvyC2HYzMtKpAkktdjW1uX2ghaoK1d8yKt9IIRu9l7GGat+4rOOcesacam
qDi9Z6qCBWrm3hACRCCPDbM6eB9qkNorYkLMNc3wctsHg0qWnSXhxmRldE+LMPlJV7/1tZ5NKFVy
5vOBZq5HPNfbCj3UjvQ5LJltRfQFBaWx6VSjJuPDwmYalXX0MIscw3XYY2LmoYnID3FJ0oVqMB/4
tOGD0Mr5QF+5vjATwaDYBDbsJVah4g7LE3cPHsvclkligZgN3b3ZuuUWXXW5qdRQ2TVRGtNOsHTu
CUcHHMMBQW5w8DV7RBcZX6MGuhIg9NnYwSICAofpen0guQ5jSYEjCrR0BUXA61BLyTbWp4DSDGcX
JUQBIUatf8SxC8IRVamPiYvgMpW4McCk5gVwo2I3lDGdaofUDXR7pfYq7YLGbsak5BcxBtnTxCH5
Bn1/evj910UBdyWPkJZOY5gL+pf2cDPMyXjTQind9A4c+Q338G/jMw06LSQy9feSRBAQzWaBKaQh
IAhM0zO5pEHL9tkeZbvuzYi/ajS6soljyDYQXxJPgAe6M4ox+J4YUfnUxznBm25X7ExzDkgYAOqC
gS4HXoKQUh279GCV3QtqarnHl+Ck9NwSc+0EKcARIClsnk1/7UqVy1dEprJBNRRfWenYXzG7Dmmb
aOXol+S+EG9YQVDCTdMjOASNeEhabSQhrMSktqZHMfsSkUOzUkfwZG5M5IA2tuo32fbzMTZafjpC
b2LPrJyCemZh/M1Vx7IEioLzmGGuabS8vdKulYcqthBHKiM/vaPPxEfaerPvMj366Wr87ZQRwn3e
WOZFoJXuLrTadi1qMFs8/YqDnMts9nqlpE+DG7u7oqite7deGg7YeT1HIlQNU5foouVl19K3/8f4
MEDaBW7Tu1B3WhRBAWJ/vZkMJIQIxbDezAcaaylZ5QGhKKohNyS4FO8J7/C9aNX2oU2t+YkbKby1
IiW8kUnn3hcL/tMyWncXN6TEOUjTv0nOopJmqgguM/Bok9fmhbsTgQJomyzz46yo/XtfBMpjbleB
N0tyy9aOYv3nd0rlGPyaVD7saOjDVv3tWYkz5SEMUjYZMLmHhGk4vLUx/l50rXN0UbujhO3MZ72b
jOe+UYznxKyma95U1jaqI2U9wY5ck1oT+QhEyyuk480dkjIIj+gKN9AIxuvfV12aWIKAwxAmuhhv
6Rjy4muTC/q/2qouyewpOhzjJTfilg67emHXUbHBKCX3+ST1TYU13Btp4/EQ2+506MSU3SDHDvcI
zQlK+n0vz46GtEcxkHnQnLiYEdNc00ULNnlmw0o1cLKvCKZNb1SgLHsS66xvLtF3OxmoholBlpeh
CvnoaZhrqCgtRGqtbl3QmuhTPHVKI7ZATbuLlPiVgdB4zaYw7eHaFDekSM/Mw0xsl4xOpieV4Bdz
VczoIGfSfbdkdiEsc6cEWoCd3GCIVbadLoiu6nLzIkFJc6vZg7IJmmq8qe2WV7cN3mlnIwvTV+Oc
2+laEM4AkxXo1IZ3U7+n2zkzbTTa6mqQEKg8Un/Lh64ci23HhkMNVNjtBbYBeVOHTFQbRL6k3mQz
4witOtBKG7a60Jg31mmhPLSqCoMLggMVswEaKKOr6qkhLBqkWVWymtvYTNZOXyO6r/piJ7Uie1o0
3Ju8gjmsu7H2qoZwiI28ZsYyDOorxmbRrcaY6CSF1ugBO6/cxJopDqS0zUdCMuyDNRjTxpFTg61c
9Ngspr4i7sy1+hG7a8lOh9JzPqrWyDOv6MDrvYD/8MAQh6hiN4j6y46Ecy/gr97SBoYygJEx8EmX
NnYxnoU9w05rN4CQWb7RjR2NBL24ZgTFFH2l18X5PTHs9Jkdgqfm6ncrt5TE8pqT+DEVkwNYtqjv
dfz+SHxi5SIM+tuummzyYWqC0BPl3amxTWgG6csd5IksYQjE14DWqkLahKTXNlvHaYYN8xqxC4K4
R94dyAuc5E3nIciyN1SI0aGaTXRn0XQL77j00tbK3+xCeWtn82YUrb4VI8Be6rZ670QYk2HbPwxl
NHuNo4SEk+Gpl0rvkUdKxFrA8Y6Z2zfomY0nE70sAYdA+CSuMlyleoN7w2EcTJQdBBC74vsWFSiv
VUfSAzt2cTVWwVWFHtJjJlFsrDgjBrPU+243M2f7EXa96acjQko4sCNRWM5c3leGJZCmhCpi81xE
F1FiVbdFkVbfFGBWK97q+fdWqbq3qrete1sjZYk5AfjBrp/mg4jddAeWoPOVKDVHWIy1wZCgmW/h
Bzb3YK7TTZ939uSNY0PY90ym2WgTAx6AfdwRxJxs+zqlG6dm8SFMGCLAea5fXVB2Fxqzbn9OM9NF
NFiG+lBtnW5M04u2eKW8J0eR4/iV5nZS9Rphlse+TrBXi7IbUH8x9sB34u4SJWq30ul4FPNcZVBG
7CeKhIZfcT0G5qsRGTVIpmiebgxNJsfClOW2i6fmu9VQX2HOiMT15LgS/VVkH3AiFM8Y7tSAUXmn
P6nLG9LS8gqPjRNBBi66iyh2DPKDWvlcSN0EFlYPh8wM+4tBmdI3AOWAniKkw6uyk8Ftb1f5z7y1
Va+3NOOlbZNS8IhU9kFLhXHZSE7gFvw2Has+8XBe3BrdZoIC/6gXdr5JAxTkC00iui6V6T3tbeeb
KG0Q/+7skOgB7t5ss8RLyBRcUePNvAqjPOpWHRSBtTU17GRJlvhJBdcZlTNDooy37WHiVAFfX4cv
raF9aolAa+P8gUwneBwoJUJ2+RU9Wzx3LiLuVKueGz3R16mV0b1QDbvu1iaVMchdK39ghlVeyjkT
e2ZelFKbMJ+CkClaWjkd6MuW8AOf45KlvE8yg60xNOZewxDxJBUgKpw7nR2nmAE2Zxw8ZroiCR+3
M6YVTfIyanr5mNTA76quGu1dpZgkzcUBwt9dXy6WfjAcjEAUWRyRAQ2F15bx+AOlDAChrhmSQy+6
d2ZMA54ER7vEaFNc6FS2b0WFg4XIjnZtKen1XPZMCltdyXYyRWc58FNd4vZgHO3WlbymERheM9aG
dWhkSYse3ayvyLAmDxHE5R3P/098msyueadBUbEBj+mBnA+ACLrbVKXJYIRZ9ERMiM6Li2EXoPzg
2OJ8e6UN9sNI2uGHMY33cydaY2tbEUzkYtDIN5/Z2StFJzeyy+5JSiEVI4rq5s4kQpUkR6sFBN+p
27nvu5XJHe8rTmnsmCzZl6AEJzaXpiN3HTOND9AjfDUnsIfI/Ykj15Vw64Sj/cBRh/dJ6OY/ghzU
RRW6z8ZoDBdqpQnEKpYAL1HLeyM2gI86zPdoar2Gc9Bv+4X3yXWbkivXnYdd38DLhKnq7OpFTEl/
hYuC1+vZ7iPjIe7LZpt0MQ9s45LdVlBTMUJzt6ZigpiLxC1nkCc25PRmrGaLgG/ob3KQ1qbKiuCl
XHSgWTM4tAn15NrCZANaWuEUIxqqW6IaEUj2Q3FXzG1IhavQb84lmbZTfgxixbq1a3JIrcQS11rU
67+0kETyMhmg0HZxeAiKqLspzDG6zMzUvDcI2Srwks6B0n1PGCYGYMd3Odvtpq/0CgraqGLq7Cwf
01FHglpa7qZez+4lO+6qGwtovogSdk3WPYQdOI6RZCFcX6Cq5dD8iNzC9pMw4o1FIXhgI1X8XHf7
S0o5tBsGLq82rFPq37L41ckENmwmq1e9TkAAOhIGMQLfKH0t1SRRETx2wQU6fDQrCvBcwuzEQyeU
cfIU9FDudZw1ofDKoq7BUzVlZW7rgjYy0/fGvS6mJnsocvIWCJxwd1HchuuKFtaDJdp3OOoMIWdK
labWG/Jdhzfb5NRgZgKspWlySKr7aTWTibnPY5exb6v5Co6eA8+/+c3Orac8pDY2gjL0qQqzNe2O
t1bE3RrGSOBhgrsV0wBebrRebI4gOFYuEWQcqaFIRLFpEymdo70ZbjZcGKVJBEWt00hJi+YmDDS/
JxTgVwRW4NZUFXFsR/dXPRrKEzl87aPA5xmtzbasyYxuxgXTrC3kLLPcqe7YYdOoi7Ull3yBgg7A
543Qj13QJeRL5QVNi1tY2sK2/mOSo7cQyO2Y/qtdJ9lBy/tHbI2zH1qcbl2bRv7ny53r3OsMW1QD
IaOjnZqzw4YMSmifLIea96EW9Y4TwLipA1v9YtyiLdbc0845UVcCszBSyA9mYXee/9PUtuZueGt/
N+mnoPs5Spr0CvYMsGaWurOcWX2JguVEOdCP+/zrnuveA6OzbMvQMXh8mB7YupwJMkZMbofGkWRr
WnohfdLPVzl3UfkJlx42clBxGsZnjIHRGTkzmN/jEEyy9CNdkms1dFVf/H7nvpCxUCgMoukZMS4f
5Y/bJR2XKFUSRXBK1SSDDOUPyym/oHx8tcbJWC42pbB4Wgm1FhKUXrMznPz4+RU7e3Nw/0FB4VY0
AYr8/T1cJBhDI2TjV7zArsJOFQdR4jSY+yH+hqqRW7LoF0IYvdYK69HeCWDmff4hPj56uqrCPyS0
S0VcezqAMJDF6wurwA9xWOGbkpZH+FF9mSkIQJAZFevP1/t4XVkPniLBa6b4iPOoF9I6Oj3cWnAE
LgxrOkKZsr/YTz7eizozdGhO9HeEDpPm5MKGeJDBE9YE64B0aqsy9sqqv7QTGpqff50zK/ElFrg9
audFBH2yUhvH8zQ5pc/WhmpIaS9ADj5UTfL0+TpnfibNJuhG47di5/qNifzjlreqPNXdxi4hMKub
JntRnMxLUoKN6v+kHr6N/zt8L89M1cXHYaP+11Inw0YOqlaQWyzVQUleG4URojO2/8HLdRtiQubH
yWQwDS0mQBttAJxQmzr4TlymspGzIK6GEdAOwEpLl16nC5Ybc3owQeMfpA7JMiQX7irAEHpn1AXi
zpCWMcWV3GQC3uHB7rPxeig72lhTZ2Gbou2wGqx4/ife8f/5RRcA0snezCiT5j5uGkhE5imSJctm
RXeLjmvaRvLZzQu0g71zN1lW/JITlnbAj8oQJQu+NxjOtjboQwZX1n5Ju41NxjPaIg4T3WMeUB1J
C7Vcmd+RYHKFLZoUoDKt4TEPNB1i3UbdmugC5HXZr5pe2Af0uZ03GqWB0WSGhCsd4bFOsuYcb1+m
yIr5gd0AQlgZrd1w8GY7HNewBzOXqyUWdePcqq92MBRfvLTO3Gu4azUUHLyzeO8v09I/7rUg72vG
sBPXJVHayx6vwJ5fffTDpElKotr1wf/85v44+dX1hQJlGq5YiBAnj2tdAs8dSEnwXUeCxYkJ0qjB
Il5aeiV3gRPKy4j+ywNcl/ALCMWZx5exNsYGgRbno/iiCadeiTqLcO54mr718Ol+1DR9H0zNSt7/
9ZdkystuxIGH/zudoTMcoeicusLP+4bWaL8YhWkHg37Eur/HTBM7XsuUbcJcR+fu88XPfE/qKh34
lIlEgmHz3z+pDdmOs2dRYLzGVVkPxUM4hsx7k6n54n3ycSX4LTxPNgojwLqnjCgOgm1YgnLwCfp8
nibw38LBZtpkuv6vb1PKDQRTCKOQYajWyXeqWlTJYd9lDBfJv5gtui96cjMMpoVQ0Pr5by+gAU8E
yyocKkZJH0rGOKsKgxwMHGW57ivVVJQMEmjstpmefpVr/PEBZDFKG0oDQlLF6esL7awWWRir/Fkx
HiJdea5n52cy6g/hYH1RgyzP8t/1KUuhz7H4arxeTgFNEBXiqVCYxhJ2gm6z2LilCXAz6+fVXPQH
ehVfVaPnV3QpRd1FAHdq5FGMynbKZcVa6w/4Dl9KfJl6AzyyA74OwlV8AUc6d0dSeAOEpepgxeVq
/7GdmURaWjKwU1/pusOU9RgL0pvYUr9Y5mNhQzizikYG+BTVx2moLK7YMY75p/1eEcqDYhfGvhp5
I35+H37cKlkFD57Gzgyj5ZSRNJLkXeBfT/1G51jLcc/Lku6XXVhHcoqYqsFpBkb8xS55gpdapDms
ysYBvgzPj3X6qAX5LF30L6nvmhOtMOJseddV8NdHl1Ed6u52BYQpA6dVkmnj2bMLBqRV7Z0c63Cf
MUzaDpRF82TWd26HSBmyDMXBUhbUpTAv0MZYj64YLD+UrfnFpz/7wzjucviBdGCc/jDMJSMMUjy6
tKiKTTK5yUEZaXZ8/sOcvcvQVSLodwXyx5N3WG7UvEbCMvNB5WcQKnpfTTGJ2vKrquXMAwvHjdqW
fYg4m5NdzyTSpqjqgo1orHSm2UG0Hy113H7+bc7tQBYlgCMcDuVcu7+fmTlRxRh2SoqCgOS43uY1
NZqd3LRt9tonxr+vojkzIhPllQG9TT09oeIOt3pUFylnx+Dncu2a2DrmTfD8+bc69/A4PO02klwO
Bqe3MTz/QptLHh7k0s5tOpEkCNnjJx3XctuEpvM2ZFWyR8XSfvGqOrfnoYg1qKvdM4ce+idqpJNm
BddF3MhCeZkTbH3JE2b0e7brL1Y7d8Nz7BHc7JwsP6gFydlDR1a1qU+0VLoj/dhGXp58lZClnbtH
uIi24HVEvtfpgd/twEcQqZf6TjeoTzF2kq2C4ngVJHqf0aC3h8dEc0pSX2R/U09Fem1mtr6LHIRd
81RZTJeSaq3V5Itmg8NQtiMA5YtqRDt75W1O2DyZ8DJPC58maFVzyHPeNqNBr1DWL5p0SywbTruP
bee5G+lO2FVEJ7PQ46d06Ns9gb4/Isa6s1VJsM+5saeL5K6sCYeRG/E9Pr8rz1xHBluUoLatk3Jz
+kLMbD5DPFJuk0X0s5o1uVUrFFXYMdxyevl8rTOXQ/stNDQXxSpV99/PtdAmVTVgr/hzoP1UaTis
c1N9aaes8G1o7Rs0w/KLCuPMQwchWLOoaHhjfdA39002jU1Y8vUS81sUh4onzDijmYkXHN5K/Vg3
w+IgKXr/339XTUPOSUeKAvF0pzQUF82R05Y+Z7Xr2hoA7jfZEVlySKBk+IRdPfzibjv3S1Ky0QYQ
GqffUwwtz8ogW6MufUUNAVBoPaPJQpfHATiJn+MW/WK9M+8cviA1FH5ohKu/n9A/Kps8aMh/K7m0
Yx8i4TbI4lLrsl7ryOL+m6WIdCdpioLROX2JVsC8ZV5wRNPcsrgFxTGvGltaF3GnaV9sX+fuUeCD
3J4G28oHHXCPLqaY6Qz4bd49dFH5bpr1A77jZhWH9dHBk/qvD0dsYJguALMKQYW43MF/XEZtpOEu
2rnwZzLEV6o93DVdQ/6oZX2x0JmNWTNoNuiQQQ1sHMvv+cdC1TwgAwk4Amah+RyO4w5n9MPnN72p
82+cFPR/rbHco3+s4SpJmhik5vmoerWVEcfVoTVb8050EAaDDKtkHAIXMYemWi8co8dyaGwUAwxs
OqdJaf51SKJwYXkl4V0bBWDAhkzWzI912Rxmw4iOwsU3XEx98D2o1GKXQ4/DVe1MHlq4YI9bFbW2
CnzE1BoEewkzvLvZzVFcFBruxjJvscr2dUBiBvqxmyRTqQ7LOAZFhCEuApK705p22mcmOq1ej/Kr
Xml6H1rkA8CS1uMKLxns9E1XJOpWPgqlfFUOJLwGXWSiGEyHy9LQY28AOLT9/PKeuzd5i2PkxULB
nOJk/7TqtpaTxb2JVvClHuULOKUbQ1fgEJSbAG/cf/HYUXNT7NG+/8jPNaOpIAdjKnxZR0vP6XoQ
6X6QxRfF68eWn7FwFXQaf/QIyFr7+6YxxjQCEOAWPkrSY1XFDcIhB/vpI5OoK6bSXmeKH2FTfHFk
0s+vS5eWK8rh+rQgc6u8zgkdoSeC9fxbNKq4hBpDOaJ2V7MNg3POOLWZBxtYtPU6A7bEhKtgI69F
vwfZSPjCoOx1tVO2mjQKL0Adxg1X7TB+MMZyk1dTIyt8gHrjkSQcrl2pkV7T2/MaUNu9SA1ctbNZ
r1KZEC6Npw+IJZ+HXKrqHeG3dps4S5IEFPEtji7+eyA8XtTKBJueLZ5qsse/+CnO7enQNDRgF7QZ
dG25ZH88v7HamnmR9oWvypcJ79BqGtRdqsn+izvr3F70xzqnhVFf9XlG1F7hO2amQg+zOoCf0ebz
x+XcC9HSbU6rgnnbB8KrWouqrI2m8Bk6Od5EtiiH8ecyjRDWttMXprOziy0JSRS+uNtODxFWw2ZU
ZDwrSmTlnETnXW9UW2RgCCrlVyj0cxuBRduftwWWvQ/FbwYn00qQUvhN0hxFa5NtEEzPZda8yxjz
VmR9cSW1c/eFzSmJAyxeKuAXf98Xc1tlXF/qtGTE7h/PQjs4czOQqG4aoAZBARpVvfhvXf0uVoPI
n0KUzZA0iitnsSGTYj492vgC0GgHoTF/cTud/XhsiLSR6N+6pxsjAUGtkkaUOUNdvetu+BSJ/j7T
GSZ/fkedXccmtJOK0lp8M39fhrZXJrh1Vu5zEq3o5siXYlJIv+2aL16k58pWmlO419TlD/vkOdQH
Fxk3AizgKb4WtejchuLYlOYhcbSbrKwf8sz9olFx7gb+Y8nTgjWZjQyhjpov5vdd2JXvhF+jcLUO
Tdl/cebQz92/nEgZklE+chY+aSPIwSFiZ7Rzthkx/ZBR9Yu4Vcvr4QV6tG9DT6mU2MvZkTdxvQiO
FW2RZzUof9y+fTZoqjwHtdP6nUC2jLUFs0Ekm/twdsu1Q4C7R5COsx3twXlyTHZNrPYtqgmlHYmt
X1qbpfilDgJNO/b4sVJ/JGV3jSeRNG1Kvtjph1U+6fGGEB9xX6G85GUvzC/upnNXwV2curQ4uG9P
B7BZVrUtFnEqv2rez3LWVlI1nv8Pe2fS5LaRrdG/8uLt4cA8LN6GM4s1siaVNgiNmIFEIgEk8Ovf
AW132CW3FL3vRUe0bJVZBMFE5r3fPQd4wIma6avKpvEXL/hPH/EynsHEYECx9f1lFzlQasip1SFr
I4NwTI+fcub0u3EA8WK7WYKpP//C/MNb5Lm+TBtHDOL8cLqM/CmslO2UhwJO2zaVk39TQ+Q5THnT
veagEw/kkD7//DUveY13m1CyNzYXla8oR9t3d1eCa4zObFkd/GqO1unY+49uijS2BkxySpuyfBGw
DuAHEtm65JTDFFdR1c9qq8gS7Y1xJDL7i1/qx3afSyqBqs+yaoOys/++dECnmwUGLJaOOSbPhuZ+
RyrN2XUxVMYI3caKO4X4lFduowT0xURPhvg16KKf/yLOP6xhy1w4cYwF2e++LxWaRCP8SmUVc8u5
Q2tkCTdnTjk/ELCsvRMfV3DEZeudmLMA1ltSRLYMzENQJNPhfnRGczdNsfkhddl422o2P7Atrvfp
yC3F2ATuWR15e3K53yYSmSzZw9b183RLYNDFJ1svhPQ22Oq0DzZhcrKbwnksnFrf8bVlEgWMw/ya
hn10VZrBm9lPxS8O5v/0/umAMYMeLB3694Ujym053BqH918W+jFlPvegfZ29ZiBbdj+/1v/0UqQv
yRowjc5j491Tk6ZT21bLYylqnHQDBmkZ6dGiQGBQJq8/f63L5/b+rl+qvw6nVx6D74//teGXGLgz
Dgc4RZFO0zBm4mN2rX0MFWNTB6V1shozvlfaHm9t20gesJxHawjKYi9qU/6+lfwvCu8X+AY6Z0vB
+l8ogR+koC+ZTLI6o3b27YKDOH79v//944f+IDgE3m+2y/4bot0yoH8p5/+pBQVsx6JGJZduSOhR
EfkXwsGJQDhQDSVQ4CwtZZNNw59aUP83/msUoTjrsEcFofWfIBwoYLJY/e1e4+UdCobsrmkR8jz5
+2IWDj51nymxDmE41SVPYPbXEq8AyPypvc5GZ6vrmBkAdvfQiJL02UQ5x9EZf0SWJv2t0/hLzm9w
dl4QW/EWTX14n7JnPEl8b0+kkGAksXwd21g9xUOs2b737SfTEYXEYs8FfoY3Vr/YzLHdLwOiwP3h
dn/14ro5NQuLmIyu96k2YdKtGQEAuyygkq2WbsOL8hvjW6ED/Vw4TaW/RQEhr/yKTPd4mzbBVlYc
yxKdn8ycZOTeH+L6aXTcRCGZNHr3tlfE0DZ22tBnI8C0QPnrYStC2J9BK9ngVlnrbjjv6ltLaoT1
RRp+LIsytE+dGkIuC1NAB0uPCRQ/DAjg9Vo8f7bDGT6kgbyzWpM5/q747FZzfUpGkJ1UNRbtqFt8
kHlXbz0rRuUIExHAsTO+XLDsOA8Y6nE7LDqNqMQ9bCxaYDpOga3rwXhT2Lc3fQdjKTW7FJYMVJ5V
Ow9t8IKvaFDrwNfAvGc5Q1jTeYwDJY4SqM0BgGT7jhQJ1iODVu6TbEP3U8/o0gwOZxRvboLMw6cS
+qRHZ7nKBVs4Zhcj6ymCjcAhcgHIo82DDFiKBZCPhRr8lWzAMnc8KrFAqE4wjydq+M2hN0CmD1Ow
pPCIWlCsIzGZ0+8I7sv/ZYKWzzUWPvSrtr/Qj9OKn8HsWATXotbiDfwHLGJkJfFL7oZQUj2C7Ndq
cBmDK9NktjY8kaOXkKdPj18apDSVJ+buZTgQkblw86my8jYuVu0xaPp5D1EQUjZYx09CM+u6J3sk
s5XU3XyK6oWmT0e+OdmJRfqZzQVv6MLfslvp5ifmzADzkvvkFxitFs0NViiubjXE4g18HKAr5mPA
THkTGf5NqAOgSSHDfvYt9ssx3nUMWyVHJYaFZdwAm78w0IES8ec/yNhNC1C+zHOg4XCDkHOvfBTx
SGJCQuwr7S9vHh0CDOLZBtawlqPmn8wteFjXp9GgdcrHMkMYAj3eG3DraZSu4t4278Ns8K8vr+gH
DAHsQMc7x7G0uDfbweb65iM2hFEWIKQd18MM6472MO+lZJ7ChK8Y/m4E8k0p3kDnonzA9YNqIMs9
9yFhcm9bOC0czczJZLeN/R5Ob2tTQFwlDqbAPW6JEIVp6b+6C5Xv5fJbUh7pk0M5MRCyxhjGL+sJ
bO0rA8bobSRLZprKogMJ2fkjn3NBtmh+VOPiW2jK5SO1LwYGgihmd6umaEGq4aSZZMOfoykDfxdG
CcBrzvPZvmguZOuKiahgJOcOugB0AuP/1rTLWlF+n2ePOzL3jeWesmwGFUDghuA/+gFQMrPZul9j
ktVrZt0VoavIZhxy9sezib33fqB09IYlsWfyoOkhp5dpjX08ciNxzfAMGUIvnFaeDZVg1RHS4XBS
M74xyS5YuF7xKY+m6IUP0083xI4snAuTYqxIduJNuX0X74Lc1uDlImefY6ncQW0ASTYk3kOfqe5L
TrXVgevF16KMSv0Y+lA0A1tyY9ty5OyVcAGufdMlOYYmgtm0ufHqbsGAl87Gi2o4d1wyxuDYAAaH
EYndl1aAdWaGooGtDAIapJ2NfeSYJIsSql6u74Qv+UUGASsIDtOBF6xIqlueuwXAaSdbQ1FUg7Nt
IUeVrjiCAoaYWYZkACRPjIeFjn3m5OqTf2RgkvG/IrWf0T4EO2OU0zc3qJyrWKrskA+h9bX0gvkl
TJCh7YCY5tcthIpvDoCzp97zpqOgy7DFDhyvm8x4lrkhKSW43QbRPNb0MgozCOoGg23gFpgdr0f+
GWODZlhN2xod7zeEQgXfAEilp9AbiQ4OeTCBOJhj5w3wYgfXFX/Pmia+dexJid5UxGM2HtIF1C2a
1O86g5p9TWfzVvqy+kYigpHwOZRMBmkMK1e10uFtORpnqyKNsSWuwZxaEQ6dBX+f1fxhdp30OJjR
Xg2+ZtyE9G6HAv5m7AkNFUYf39eDZDVhDq/OGCo7WzXzd8kIAE8hGE72Q58516KoTfs5Zu7lZUxL
+ViO7n3qDe15siGqj0lnnWNOfY91gKMWsKEK71r2pYcsKMXWTFLzQ2KPmkm98GlObP8V37W9bxhQ
XUb+6ybi+yFKcRio+/LFHw9UjrBpCPu+I8C18iuRetvSTM3rsZmhpsatMh+6tGm22g7MbcnRcdXl
VI1X6UD5gBauWZsbzNvjx1hobMuW23v5zqz6npkmtOWoVS233IKAa9ahNtWTXRfhWwYcqeNR6Jh3
fe72q8o0xBGlDXf16OQfNY/3E9jW/lbZ5sdRhu2N6OaJmatRC38d1FAzOub0NwON98eJAdrThDni
obB89X0A/flxwtvQftLKLIeHzJdxclJyLo4JqoS1aOUHPE3xA5j2mJmtIl6xFdTXg7KcddmxpQl8
uJTMOt1JyWhNZ1OLx1xUfSvViIBkznJAHZP9kGdqeAszP94klP7ugakz99iPAAaLGgfriiOpuA2M
uLgx49auN4whGQ9u0XgAAfpxy+UKVoPr6yvBXPTHrFfu2mvEc9wLzLamRKoOVS/NuU+73Hyz7OSY
j3l3bVD7+zCOCRJfzhqSEmRn0YVI01OXuMmdEzb9TQ/riQa9WhUBwJHUtHpWzUZo93pMlcs7DK21
nXIEIZNj94qHn4HrgFvFBE5cjSSbwWW8xrkbLCfRCvlU46KEUMUGclW5sQCzsxYyipnCU+BJEaHb
StzWX9W+dK0dEQV4I7YtnIcwcf17fAPqsZEu08ayHhreT6rWxcysdqBAP8rCW4k+efbN1jrVsHk3
lqPFOqknbweUpXqEnD4wj8n2Y8cAXbbRiGW6rTC1seqVTyV/6tL0vtLS2RWOOT2ZUg6nqXPMV3pI
LFBwem9YgYZDpmFtUs+PHhxlDhy/eiRgynbFyanm9px6VUlXq+7Gbd/UGaOKY2Nd9W7eP3DENjcy
9o+hymGBFsn0bHZlTJ6h6l/SPv2Qw8xc09SBVJzQmX0eRASUptPU8NvOuSLLzYHXTJjFi9Jwh/CI
z0HJfPRXzGZG8zoMel/umNn2+Cbgs14L7bU7N+t5OpYpIrM2qMq9GOFeiog3PoCLfYzzJuDg38b5
lsfheAjzDlhZGcFYRn9kasnwd0wNbiXz1N3MU9KdqAiD4TXTqT9p6TaQXGzt7PgZfRNUYELXAevN
15xg0/cQ5/aWVKU3H9JIlV9EgCokklG8LZetlaCnx9T11K447VbNuqxyf5sZrdjm9YAotA/7m5EJ
uU1MxXY9DVB9GKC2TwWogNu5C4XzzPOtuFE1wAN8HJGu7lEYI64ovObcVzrxzyWDsPPaMyK5GlTO
tgCwzefCss1kF4Hx5AtkshcsfKu4S3jIQuvQ13XRdVssZZFe513IFCHbgBsbfhErLwUgRq4Gpvln
J2eP5UZvSW815zkeofNWSbpri366pnfq3bY1c4SMN7bGpmdS/sppSnXSVjvtQ1yz95anuqd0rK7a
sT2JcNYbAtTtXQWI+wuJCHOPJ1VeWVQF0IWFL2zUxl3Qyc0QSPchZ5SlXHkDoqFdrqukvIJgPlo7
iB3QLkdXinzdlHWTM5jsz+feMcVnTQUVXmhkl+hy6grmMqyasHbi+bropVF9mQbd3YOwmO+MdJbZ
NhGZ138OlXgSPUmcYCWz3o3tPfVYBzec9vdt6gTnxipfBRyS9FSXbcAoeG1+Aq8jbjTogVUWci8c
i5GZ0hUQJWzuRZ4G58h2PfMVitw5kuNKFnV83wjw2qQ8Vkh11p4YXzF7NdQ5ZJgE94kt2nuefkdV
8QT9VZb8fYU1Mh2mWejOLnEr94cuUBKN/WQni5xCSrwUDidRL0ttsocBeiZp/dJw+r7ERKuJ+AWD
M+TI4cC9T9CW6TAx90XMpAbLea1Stu4dC/OnwlBwI5jD/pKWxAFukyHsgYlI34nBX1Dqqm4gIJWs
fHyxt/SUcX8hosEXYvgIdSVA0JchVRATQLKwVsx1zLat8ruvZmI6EQd6V82PzFyQI2+hAByyvmeb
KTAcNd4wqsfOirxuNyvLGrs1fBzH/ThznijWcag52CUxVqfMSRbBDSvGUxU4+PHKqfvKLVN/D+eh
fqSRw45etR1//yI2NisQwdcJZyNjWTtNDliWEYPv6Pput+Rtun2Y4Ema+Ivyzm0E7VaZWr7edkTB
3i5n4Ysb4y/lm/vf6x7/w1jhPe0q1f3f/y7Vjr9WQ8gNerAMl2i9a1KceZfgKNghx35nNgdvWs7L
XpZzNugtVBO/l9T+7czI+67Q5YWIQ7INcAHhve8xhpITXMtE8OFizqI4gcBK1S2fD989xtbBU3Fc
ajSHkJmn7NvP3+aPr75U8CENEseNmCpc7v2/9IaFMRG7n0Cjy1zYT/Biwk2GQJP9YykPDYYD9NMq
4BBgXKRDP39x6339nDoq7NGlmGotQbX37534lhFDkmvgUwgOhcOY9O5NULR43fKOYzPBed78sPjq
FMFDkjTAGDn41UlQHhIIe0+XX+i/5c1flDc5Oft8Nv++vHn7bfyfN7ZKfy1v/vFDf5Y3rd+YjmN4
InTpC9GKYFH7o7wZRL8BGaT4SVIvpJjpU8P8w/SBs90kd0650acgSSCFDsof5U3X/G0hb3qsu6RU
QHB6/0l58/2SGnosRgxmOZ7pMbf6vn1kDUxemmbSHAdsmNm6qBPvzpGjuL20yv5yaf5h6Xj/vFhe
i4k6mrxLK+aH8NfQmcbcorc8Bs6I53aYEHz1KK8mrsB1u1gOf/5677/DvB6zwExVmYzzUTx+1xqT
BpNQIjR5vcpaznGmoDCUaxSpCrbRkUIYJjbnoqRbHEk/f/EfmoEejyL6TrQgKUOzhP19AUHP2Omm
k/Vxlkp9paVEYaVk5u36ogK/mDhjGJm/eMv/cIk5AzNg6sMb/jHQp4jLyDEMqqOsLH0PQER9HeqK
olmUSYj5JhDin7/NH16QwAk5Vm4if9kOvF8nc9PQwu6AZCMPo+oDHX/D9AIy0dAxPjrxn86hf/tU
+DFlDJuZrCJ4AJ4N9FnfVePBNJpzEmtwmciSihVRu86+m+eWWl44uosbrs+s27BkJiSYCuvcDl79
UrMNhYjvF6AZkqALzmqyYQ5JQN/s6kTaUd6I9IfJDn9xF4COfve85AtvkYq9jHkSfHzfFgNgECZ5
pfqDF9AGfTLorMecGUsqzpyWYVC1iTVeWU06sc1kRt564js4nfFb4eYyU9+nVo/csrrY8pyO5w6j
O9xLXWxjG4dldasz8CpXg2lTTq4vuxrb5Dq0BRiqDeQO6k6GzGwigPYc7oSnrVsI9og/+0VYzpNO
n62ltRBni55slgQjPoeDI6aNL2eoPSHPnfwkHU/f+6wSPuw/HMCH3ByM15xDUnxupS255eK8pfoI
lsqgqmHPqWURT6HbmCC7znJ9o9xocB+gio7XUEnYPPhkylYDMRx7dVkI5EUsrocO1+uo8EAWLZpl
HbfirV/shLM08XoOBSVfPSC9Jd4+3JtIeNBLtjPLlzZz3GqWxLYqTTwTsmS7cCk6U8lG79gazBuq
nmf5nHmfPGAC9bGeIv3mN4rCPNtc6qkXYSo2Z94pCD2yEXRQKWItVk07L3AU9SEuXcpA3GbzwHXj
8P0Ev386z2EbvUD+9D5dXOpZQt2ydUbP2U1NRq2YEySP7Y4Wz/n3ezXNE6qnqZON/U1WaBynebOU
sD3erA3iqtt340Dt2iDdmV4xBJxVOCCNtlIrIgFhv1Wunb6mw0hxX7CeblTRQ5j+XSc41HiAgamJ
NwCVfPkvSt1JRi+CMyNHmktFUheC0vficJVwLzjdiAYNYj9hsRv8pdTNt1u8aZ3TYEiagq7I0EsW
0ygF19en+P9Wo/D1ORtBYawuG9LL9XdhX6+dPqRYwfFzE4VQkdZtHZm3l7+j4hhBFOBS1o05PRi8
14eUssRmTKJo1192wfAgMdupYhQkkKCDnqxuMMV66MZ+U7Q6jMD1BpZ0Vor+N/qaMjTzWwWcRUBp
qwoOpgIu5FJqbDRQmBJC4yp2DH6gLjPLPI6WCsCHJZVRoyroVGbsJ7PHAt4SqojPKAhp6KXARBiw
SgEnXdtzNL2R6By/DhN1aaBe3Zzdj5Nhj68dlz/dd3U97Ds7pVQ6m0WzgqVprBtqryt4vOjPk+5J
OHG61dmUIq+Opl3klOs2bTXHp9bd0Vdzbj1qSWumdA8xTAf2d41+8qu+oZgO2M23jekWwaa/7hjm
/0DGr2WKefJXatLWneGn6jyicU5WKh68j8otIpf7qxudNfItfRoCg6G8sEmqVW/aTbkym/k2lH3y
te1YNv0qC64owfi3BPwi9vWzO11jd6r4wFFXN5xFk0UgOauvUZZimOyMPsk23NzRlRsrXW8iPPfR
ilhv/EJhUdUb3KPPKmUUIZPtp9oK8ltSyJ4LaNRhyWb7y00nL+bKi1U5tfjDImDQZx5z3Ms2AJzs
wNHLeho5Xu+npWHjMVnyAqC7RzSchJXHmX7Q53mpruuUvYVwLfE2dQUuH1hAn3QTJi+557NgNnbx
BMIyJ48z88WKFt9uvFi8M2Isx1AsZKAoiusNj9HmyfeqLZXHesMh0k12llOFHoyZ2YxeSQlaHytp
GKSZUrcPj04lZ2dcW6LTO0daEjYm8YXPczJ4Pinv4qqMRHw9GiK5B2mYHpMwegqAJr2USn6aqLuw
+mfWS1dF/SbvuU4aEyeVLmFlAJuE/bE38IatqQ6ZNyIaA86jGNw32TAePac3ho0zthZCSiugEN3I
cBfVdk1plNGh3ezaL1UKbbrRHXnEAYX8hsJjC3WmdD0U8k5c39aB4X4uKQL2zEtVSj4D/Lfjz8hm
M4m7ScTNbg7Bl67spOhdyHOFcV2VWc+lqxDxzMpLPkwMnB4ytw4h6DnmJuct7QNLEHaf7Lh7a3TI
XkQoL7x2xgzZqLW4JtsIM2pWdi6LhVsm8pZRkuk4OXl4CysoepFVg6/ZKJfzeJlTZICI51N+mlmH
WgC/5y6BCpZoY7mV+qRON0naWLdMxbKWthcl3aVbNGBk2fsK+3E38tGsS3Q9S89zUbIGIQG0TLhL
L5duAJLmpZzho7ysNoldsN7LgbN2OrAODrD6iDGRO7qORGms85AJolXOw6RaOwHNLRoJfJc8iCn7
YFrOi3Rk9pdT6zwRQ6Lhzrk9SBfAbAD0DhrkaJbpvRprwBY91cZrJGTmPig9OocSGdXXGhYkIh9H
ckfYc+t9Ckqej7AWWacrqj+LkL5BAF0qUkBXiPAoBvz+a1m1R0OxhbLnX8XGotgLFq9ru5ifB6h8
9woC8VMVIie3MINNV/ZoL7XLfqL+cGMhzaRDJ6PmbbRbkd7Z3sBvnVWUwtbjQJd3U8tsCsBLiLLj
aUGBtamWpnNblKsxNIcgWCfa9a/6ossx0rTe9BjjD33zU1qYq0ka+fUopKacWPZ5xyPDSp7GYAbg
2Jilf+3OjI+xLgbWY9kY5pXoU+O7ki1AqH6MQN7wLbY2mRFEL4APuS3CUvIkb0mfPzmyXTqqUtNV
l8FiVk50tlzRtuETx1bOY70HB8UDU7JUPcbLJ5rnjvtp7qvFZ97xMRpWy6lB2bMJ2N3riGpu6RrG
5gtITOLDXCe2lo++kxn9Iz2oEvh2NqZJGp7LgklZHlUimh3Bo7GdMirNmZFYz3nIbjnZ61HhirNw
zVLn8IDRu9j94rLKNmokojj69AYqI2IPEtgp7QlXprdYA4mwIare8r92Q9eG8Fg+ixs+/vYMnjI9
FkNqfCDekF3R5Efq3qU8esgmHuhNWfQgA2NHeoqWU9j6iJ6AAzJqe3KnLl63lfMAYjbbODLpd5aZ
WBs5W7QitEZNNpAZSFRpnWuXJQbtPXMh+UAp2CrYkSi/Kr4bmevtiBXEh2huqoyCFp0HpJDjmlXh
ey3b70Y53UXaHY/c12wM+ta8i5Qw77xqGjYDcGG/m6oD847tlr1x/Kj9ftrlPEQ3eUtlXLvunWsq
90bbff3Ap81zudblFU8+qPNVYaxwsSkIpf42icqbnrmDFZHt6c6cRPIssBa+ycZ2bpuhyps1pB82
kLqFDFnC3Brunco6s/ODTGvAtvb82LtynIHZHkrCUc7QRB2M9PlQWM/fvNbnA4EEnxQ7z3PGdFMx
S7HAChARrg2ewB3cSyDKrEcmKwTPK1ZDlaPBbW3j6DtTK246XOHUwJcYDz0z7sh5WOKpMdHz7n4q
xjxbD2y7Nz8/ti2npL9W8SjfBRw4PAoLjAv+MJ47D3Ye8cQTB3FxErONJbmCHEyff/46P5x+eCGg
S9QyOPYTeXpXRgO8qnBqK3Eo64XJ3DOc8tSSZsLMjoTi5LvL0eWyHP78dX84+i9v0DQ95rYXUcn7
oWqO5KWTN1ocUAP4n5RR4fPoIMHvxiBl/Wqqejr7fspa/Hug4+evTt3m/dWldMepmC84v8T7YcGp
y6meWD5zmF7MAYSGtv0ULqtuHnSs9n+U7IQkAbHsvAGJsbhffoX/Vux+UbFjjMelxvXvK3ZP3/Sn
7q/luj9+4k8xr/ObZ0bLCE3ko4Dh5vlXuc4y/d+grVFOIqNIWWex7Pwp5vWpyfn8KzJ1S8kJa9Sf
5Trb+w0tFdFGZuWWwpf5H6URLUgKf7+5KCYwlAJSk5oC8Ddei3//l8q0qVCwtk3D+aW15etg0C3u
yulLSHv2drYMdJoGzHENEunMRMBNx8nkgz/kLdPvxmNryu6qn3xY5mEw37hNbxyn2PFjuKV5et/X
rfGJL2mzghJotpwUYsiZDDgn3X0deJPz4LpZYTPyU5dWcJwtGdq3kTubzXNXtjbbcaOYG2cvCiXE
TSikGUCHHgBXo5uIBlUR9YsZmtzNc2IGlF5GKdvnMqwVGtOA7pp1lUbat1eLMVdtg9R0u11aujY4
KzfJoF7kJBlME4XERCkrq/LZugqayX5x6bJSDgI50KDacwlR7mEQTd6xh7cNO5d8cJA/xZNhUPGx
gmXGjaNd84nuRfh1UZkHm9nusCRsZdqYg78OuwCVhZ6p/28Uv0K3L3Rjn+gazOCg/Sg9xTnBrvWo
Alo/A7zLYTs3OTL2sMkPVUJHQtcM8q4YdleH3NDhdqSe+zYNbBpCNDeHrMsek2UuYqX7/IasQnPI
7fElb8j85BiRV1YVJYdiTIgetjRJXzOdjcl2GrIjm8ybxpUn4v79a5dUNdKSjmeXhjRcDxGtgcT/
AsidHmE/vs25163tNloX2jkmunjRg6pXU2TlV9BIPidZI7dOXPSPc9hDYZ2Nak9j78VwyNCQphj3
HDVRHtuAxqLoPMzZi1/a2M0zdZq7ZlxFRXI7p22AmFi9MXN6VQ1NfShUJnCbOhu45DbMEjytQpjW
TrbzfZpUxHPs4kWQ2NvQRm22xNW+IQ70byp/ju+Rg1DiWqIGUU+KonPIjNBc3rsDUg49D3d27vib
gVPfmunCcu2OQ3od96W8CdVi9KF3dQwYdN3BE/UgDyfpeu7a8DOK0WGPsSf7HHLovtIIMoDGe8Y5
EQSX6jz5Fjtxc+cZ6tFTmX6sq6ncUzdmYjYT2aEu8PX2memvHKwyxqr2+p2iUXZkXUh3UtrRLsE5
s/ZSI9qDuPrWeEV1pFHZbDAKc2ZJesJ7sc4+N2geOUgQwEoSShSRWXWbpiFd0tWK6d7Z4ORnDiXT
CB0xRls/WejdQTsVL0YZH+eZCkPVgUD3lPHqMaGwcnDRXKWtFzFO5GbfHZypH/s5WOeWWuXFyMgl
lleo3f1kFtfVUPQnn6MQpR6CPji+Z+M7PEIQcQMPdG/VBCFQWpkP87TmbGoc4PH3Z8bsOXeWMJTv
2VRUNUIEmd0KyBU7p8nCbRxALl5bbOSfwJKrtTItIlbkSOwr5CWS2qyjeDVuLIS/8ai+9GXL6SIe
hnt0ERZFD26LJGIyahVqPX1tBYvqNglcSP6KsL+txmkk68WtpdfGBItlTT/Bg+Xejeq71baLxmqM
xQ4MfJ9+n/Iu4rs2UhtcuWYrGAQIve6t87hb7FVKpHdnDZV5Suuo2qP3FjhTDdI4gCGB3Y/Uj3N/
H5DD+pTrEU4tBpGtB9ycItlMy020zpbcMYerhMKMHc4fNNiVlyAT+haF0Ce+Uq82DEHKTUXDXlZd
gZZ2b+G9FBuJ2OdUG9lXJrfkJgPl/lLJnL2jL7zsBiIcUR9mdJwNm2/rnhPIM3rfIqQ04UTXwi2b
KyvCyB44wzUJNnGGTmI8stUNPtkcBzcIKNhIVpHEJJCkCz9L2/Y2bmq9m8rJvPHjqdmqGA1IopS6
LQmbbfnv1DuOWNNeLt9aVMtwYUjU7WKyq1tasSkH0uEevk+2zaaOyKOZ2itw0suzZA5XE5GXh9GZ
kEI03sEdquiLtLuHQLt4N7vCGQ5OqD74U85wjWkaW1QfR5cZOLToeN9WyhLqe9xQA2DW0zhNvZdy
jsADWps0hqhKZquJkwk6UYv1IJxuMxStd4vM4mbKopyQCSM2WY0QVEPJXg8Bjgqqo8k+jRBTMf5G
+TXP+5Ww5J4CtWQNVjecPoL17IATj2ggrU0qWEdVYHnwR+mtKMyfoTzZmJKaYtssElXeW3Rotd4b
UxsdKVWRnbS0uQr8iCTIImQ1l9NHbyFpBQvTbvKLuRXDQfcUZXm0ccJiAuRYRhuKyscIBSHBDfFd
t8EztbdmOxOq2Jn4cdbjRD7JcN1mm9Y63ZHt01dG0X5F83NTqrg/WYTCVvMIXrrEj3NH68FE08wH
W5tTvhszZLQzDZuD4SGobQWpkqGuSQglnMyJZk9IJnKKOYRb7zjJfJwX0W3NQZuKrfrIpFJx8gR5
JouhB+qm47QSU25dcw9QlV6MuQhevgONjHZQsT/ShcZ7cHHr5pMX38SNFdvkQVn6mYb7XAlrXJtU
uu7jwo7X6aLnJVQ18HC30WCbyRtm2u+Et765Kit3pceGYdDuayX7dF0VHVWycNHfSFcSWtPqu+xd
DGZdjhSeRZSmA65gcGr5Q2Q34mheLMJMmrPfLz72VWxuWEwbVu1seA2nhgeGch5Jl2GXT0Dm5Tpk
XUdf8NmuMRdXi8MYwq6/ywdMAhhm6x17+uoafty4VdPsrvE8fO7SGLGZ7Qerkfj+akyLAgh+G75Q
lZ3vC6druKBIJGjZBJC3uWCCX39QRf7G175QN0vB56kNPH6WAN2j7OOjX+pxbZRR8tB35XjvqTh/
C/DRcNLBe1ImMN+b7kBhnTC0TnOx9bqYC51mqfscecUiwPIlluxw6zJ6Z6/bLiBHSRYLLXgLkB/6
U2RRybe/erWuvc3E57yyhdXcDdasDiaDqodAe+HHsejMtx4zdo4u7W42HQPC+JAOh1woh8O6P1Av
ynXNyipI24FPIOc7wE+PPY87wqzObRh553EyO3PNqon8JraFvfaQ9XzvJNyT5YtKMm/mHNeQ9JT+
XgjL4ytT+1BzZBfNjIswZogPzGEsdVoGJ8xrJj7zDx3NyM910l6VIyTnTc4UzLpNnK+UCL3Hmmbu
F2TuBLpnupag27JeH/F+YU7PmIcH5u1N+ou5ONbFxba+eNcxpAQ3FE7KfVT797Nfn+IGzDcVCRuK
u2XMObcz4r6vcRJU65Q5dMoWXsYEq3RvrD7zNrIaASlkjliLRsyMwpAd3DbKac7ScWW2nrgUt7qw
0YiZcUPhRxG/3MwyVNWGDBne+sVgn1gyR16D2d4CjbEV/F57JX1jT4IprvZtUGavrGbFK4+4/kM5
avOxyFV8MPMgO5reyI43boHUIzrNV5nRYZSY/LF8Sewsn07MdFfATFN5FRlLZD81x2IrsjK6spF3
rdNKWxgo3FpQC0nM7Wx28kHNWr2a4dx/pdoIHKRrohOGLXXnJql8buBo4mnqGNLYONSTimqZeWF3
Nb+QP6Vyy/GhG58SixWWpKbbRxuQdY6/cksxDdss5/twAq1Fuidk4OF5jDEbfkgKFICb/2fvzHYj
R9Is/URMcF+ARgPjpK+Su3YpFDeEFAsX42I00rg9fX8emTmdWYOaamAwd3VTqMxIRShcpNm/nPOd
MZyvWTbajXgR1TwwLvTxkrjC9S8+E9H3MSDqiWJFP1WYsaykzxvjXDUkE6W11+xUGtZuUq9zddQa
yXSJbSncuK4wQoxLU/1mpnP6MPKfHuaa41XV0dNUUxv3Tac/mxrBopEH5c4f1uxGNZSkVTN2TLrq
sX62cmIY2EDZe+wF4haPb7db6oH8oqyrYmmsFQYNBdN+YoHywJhdqYQUrZqJ2TWjpLT0bd2shN/Z
JUzUYM4IdEGv9hgGpWrv5iyfPVi0s9n5Apkqe5/iO0LxCHMJoXaofPvvlJtFiLqXaIjJfWqHzBeM
h/XShoHqD2VEvMJmKpdxvalgzzNXK61ttcpGJU6fc47OYTVTOvnOYch9780Oi1on4MtlcFCCd/ET
iUGamAYm2lvyPmCA8AircmuHGUEetmbIRUjlxOkzqBYltyEPuo+sx7kDj19bnbFfPewZIwnIyDWV
PCqeyUQPTnGLdK6IU1sHP2vVut/MRrCWwOo2lHvyEcm6itLi3ULXHtduNJ0H3sdN2GM5Sfw+DH+0
ocwOYDspwa0hN+KuUMHrWk7mliiz1d1GfYU1F9DQh0lhfTOxPCfHrrq0wRX3xW97Wu1uuOJXJCgU
t36cMGGcVllMsV27MvHYbjJuz8GnZaIfNjhJqQ460e9nMVoxGSDtxXW7OgHZ4770VJFbIPMRjkCr
RABqXYvzbkG+r4atroKjIZsxaWncH4esiHZKmPaH587uoRZKblLByVS1xKcTgpzviwwXg2qvO5Ki
hqAl+nz6RJI77iGE3jlzHn03iRkY+U5YDpg2K1p7AfFZdZRSOrtFFRoyGGdsvOW56XYIl71tt1wz
kngozY1VFvl2Sut8G1Vc4+lsiK89Nf2mjYAUEHfikDzPTdJMxN0wTx/6GGMVWQml45BvCgGoiQLj
bnDWBQJzTkSCqM6z0E3sEVWpqMCNalstef5DSt8l9LMoOGi77JC2Bu9uz8GvEdou6PpIokS0gI9q
5NKZlod8MKPLOGcCMXPhH4RfeFsbZ8TGhEB7KkzrPiR6iuRDtDWM7rOPHl930rTLICjsuvAijE7F
MxmlW6tKXcI3I+c9iyyoS9NVWFkjlXg3ZP/eOYHATRHuXeQQ5gZi+XfCuAjdLcz1uNTg2Yn50QWL
SHIm5ibDlSFASpdB5pMpVCEdcPLtyE9rw/D5CyKjmzxD+bJ235uy+tKX4/V502a71UPDHnh2CIjA
yLyp0FicygKPpujnFOkzcS/UzJYZGw2jyu11d6ER8HW3rV82PC19sCcMMIht5RbXZElxz/zBNBPt
zjqEamCOl36g3kaNQR7Kdfwzh708op+utisLGkjSoUmWKi1aSVzHoXYJs5iMDiPFEDARkOrbkM+Q
wOui3JgsFE/I0JI8XyTLUJ/9iG2Ik414+2EVebbLiu6Tfo1SbGmKJXFXEtIaLUdBxEm/vI1D2m+Y
95wdBy8ipdQzyvQuDtQQ3JCGMcXdvFI4tvkxJT2th0BrqKQZ9dfI6s6TtZCLV9qvuLsF8UEu+3Af
/Qf6ifAtn9lCOJ1iw0w8ICTw1HteWywM3irsm2bJbwujQZIbkBHd50/Kt34Cj6X+W6iOmkw2T3lr
vzu5VR2dsXG/9x47MzNTTiKN+nWG+/ZTytogQbMJ/WHD1IPie2bbtFn9+pGsRTPbtORFJYMM06+j
qQUrwpGsu020TI+dBQgSN1maMnYapmnn9S4B5ogmLHqc2dsLdG6PqG69YSMdryVCZEwDdOQqHwze
hHrrm0IR+UgpuRbZTKtD7KrLX+csSk/ejb7LkMASxlVXIwoLGQC7uu0YVlZPhGYuL4z5wyP/h18S
TfjTzuxHt2w5PMIC4YgkT3LxuFwtZ/qWCqm7vTBEtmW34m6CgF2XV82ntQgEr7r1qriS4soa5Ebb
11mgvCbORDpgV+Vfl/O4oFIwIXvboxLOepsjwZ8VigXAIodg7L5m4XqaeeBjdhvmUWTGOY2Ib1kr
ljplF5ykNQ67yRHBNiC+6SQ9xn9dZKKdptSPqUxt+FLdrcrGB5bg38264IlPF2+L/+yhc2WTMJgJ
jg0xxax7hnxP78IAca2Nu8l2oRu4eM9SQyZsBIs4g+O6z02AU+DOLVYCNGfK0z0KwMxkcoHZzRTe
dzml0YM2UByX6VTEebt8FZnF5GxYHIj0rLnKwflMMew+TaF3NeUsk4pL3U4/vD4Ynzj77A1AaxUH
ZqdPqmMYZVolViHDPVfErzFnKQp7q0wB3ddvzu5Q9XG6Oq5O7GKKNCZZqw42pZnD6uV+tFih7USx
EBVKeNe7F7pOTSz0un4Tdp7OsbUI46P1a3UXmJVxKLnwCKQLghmAW6luA0GLBG+nzBM0WCdiGbOt
Uy/LJ3UWr1Ym648CauhdOznpeR1y/c0o/J+ZspYre9PoTx1j6IcVZB8q74AQK0la9ks4e/rexsa0
XtQctsh/grrdMwWtEU4M1wSiNfJ3VltYQeKLYk6kXTQKitIid4W0c/qF1LhYhSJ71uMyOBTp+Lxk
3gsVgvfUpVm7Y1M6HHgPlq2veovmKnydQp8TPm/sp8ysZNznzl1o9elHPTfs3+s0jK3Atgkjum4A
b6C6+w6UUUar3TDmN9QQwwyBRLWxKgtfn9yG82fjD6Ys91k6zdchUUX0E7MwapqaLSn02pLybsKH
ile8Va9Kut1N14XhiCaI2Fj0M8z4Flmm8cK5gIIMQPOFzGPzeeQ38JOw0+ubFmQQ8xqnDI0YUOcb
7FX92dFS3wY8PV1syomM5q4pblcppUq4sCIcSjqjYlqwkhGJwmpVYWmNa06Z91r4wVf2wCGvti6H
gwxzFrHGTGZZH15zMTIDMxWC+vnJ03Jg+GQK+K+0YSE/CQO3K4LA716elVlCvCAxB8zUlsdFjLOI
iT8vtms3w9IIehrv2eaKpgStZYIe8OdEeb1lRfCwGJT1a++zjhc+Pjapp32GVeVhzkb7jXS3Zk5g
N9T0655133ethQ+9I++h9xT3KWdZe08ixPhm4LQ6OXnHXAZ6TXhWxMy9oUgzL2Y9LXtbEiFP89o7
Dz3MkUdClWhflJVGN4aR259LVYjT0Ifjk207DENZCfOWtg3HKqFRYYOxHotaUnh9yUs5udxYemIq
uHFUlJUXJvwIlBCfONVNaUH32g3+5PGTrvEaDiork1n092vWu+XGX6S9vYrjnk3CIU549ETcVPny
s5K19Z5aV9Tp6pPPwaRDXfIoQvWYlUX3pn0Pu5fBrZuRE8xlP7UJzU6Bb7Qv99JAI4FEob5RMPCO
40T0pex9cSsxqvZU9pZ5267t9DKUeGE5ZVkm58bkxr5yU46TwXiQopMXbyF/rM6tbEsgrtxPvenG
8CN4Sgw1DWf4QM4XprcGl9gkn03qu1vVdtMOI59zYJwZ/IopfFzycowxgY8M7dsyxpFSn/UQfTNG
0JQcTunBz70hMZbVOkcjr4ZT2sASO+fY5lZ438w+QrbFG0++EZA6CoUiwcBu8dBEQcy8WWG4ivQZ
+am4Df3okzRlazumi7krw+UjW+o8tl1Eh2lYMla00ppZmVpejcLBz62sfCvt1dkaPOj7HHVkPKrF
PhLBysymFQ2Re1G4JrkzW4lvmQGJpC21rLmq96Jyl5hWARiTIkGYi6zX9wAHmANbEd7KxrPH6nH2
8gL5MpdN6WGbZ541ilsj6JLJY33DjBWj5NLmO0uEKKpRznli5d+buN2cebkDFskceBSvUW9jMuaw
9gyYXq6zJkxKPqIGeUqUsfCYEIggnatMQDVGu7Mt4R7IVtu7WYmGVNIqwD6JI20CP8jWO4IDsKqX
3RtWr/IeWMEhNWzS5rphP67u+NWYWYPYjvHlmqqwM1cq5Lkzir3ELbyZQ/1RR2X3MOnuQbd2taD5
w522wUqukrwy7rB4XdNS7fzYYYO+dUfju2sE+tza4B8V5/+mYA3GoCdyvwyTp1FM4tuVcj6qqnv7
99r6F/fmX6ytf0cz/fOtNaO9Vn18b/+6uP79a/7YW1um/RvuOBxLsG+ApYbYVv6wmcDG+Q0lhHul
vl/xTMF/761dC5uJfUW0w26GeGizOv9vig4RDuy5fag3ABQA7Pznf/xNpt//wz//zTV29Vr8RXBy
XX0D9oMtE/LH8aT8gx3CrHPJvb8aN+GQdmW0s6IoXPQXhfq7UafSrAPGC4Kte17uiYqj8bt1oqqe
yO2MALwNG69dXJmd3CgNhXNugF6Y/rKh9stMPKTogAqoukzC5nRPzesVBViBaeTGXfm3Ka9Mt/Jn
vZj49Tq2N5muNZmKdO7ELBBUHgbGJg8NZq+jHzb16Ro+AUMDtkFB8jHxz+Y7r0M6xASSK7k8EYGJ
7mUbutkUPIQ5scPRXVEM22mIXKQ+dWgzfvR0gyC+0molPjlYMKXHmYeq+d9ijz9oUf/irbFJiEEe
8c9fm3PRND84/v+Gn/rjq/54cUJAUqGDi4qnElUkL8H/fnGi4DcY8REZCRDVAQP7/Fl/+rOi35hQ
O2SReWhFfn+n/vRnOf8v/izkHf8g+CAqjmUrORdX1iev+a9ou78IPpxcRDXEXfOmMY027zS4B99I
ZqtJyVyzZrkVrkMLszijVLvZgGuy9ZnR/5jnKiBieS0aViZUnfOC8Zpi0SnXt3mtXPeVq88RydRb
n1loZy8QW4K4yBgF0nsPZ2JJh/sV0l26K9oSgntLWtaZl8pl/eHPkdwbZU46CqXJTYCt6lDP3kOl
6JEoUNLlxuwR6W9c3x5ux5LX/MURqQ5ue2LTTfQK/qTrjVs7+nu5Eo3UoL4gOLY1N1EJqHHpyRkS
/YIQ0XTiPHD0+1R6Uz5TDtbGWTiFhypCAaXeCX62TzAdaz92EFEwz67S4sVCHbnJckD/sWLI7AP9
8frvUDW7J9/V9rGH5bG35/J71UXLtgiKIu7NjiHIONr2vrSLZyY+4t4vg7Q88J845yVgAJ8Ms1Mc
BjQd3I0uuZ+DZXzMghUje4l6Oqo+MBgDRs4WXzpe+DEkNHfNg87brq7RP1pm5Z3HiI2qNegrFiWK
Okyca5S+rnUYPMnAS58V9qQQP83gGEiopVfdII6mMSbHuvwyTiqHFW4HMa1AwGcgYR2wXjr5UVvd
0GvwWeqaTbjt9+gCxLJMN4MesjA2MplvgwJne9dkbmHu0wxdHPwOcMwK+TPrdViV09okqKHHnHDU
rtyFS5oe0PTaXySLUkr63lifowpgEzq2KSgOrmGGFRg4aPEvGZY0iCW6cWHGcBZWEUJpZEFsPo55
dl3U1WXlFdZH1q8q4yfHpt+DPb2texeFinQvq5ei8TRTwsSjxjoW4/oYAlPYAoapYiHaqYwLj1mI
23ZsYfyI3kjTAWyuAXNE/nrs5yoigGN6U2wbRvAsGKODnTlmWp29a0z7SufHnPXidivjLQ9NyVyn
p0A0u4b5+QuNxcMMvHuj+GN2GbsPDETLu2VO6y4IinSXjssTMvT+2JEovl39Dq5ObZhH6blix+Vm
s1ppYID0jGZ6A/wyOuri5OqKNgD5/A361/VodryaNjKal4j8+GYI3bizYJiA6MCOw6Bu1wKbGU4Y
N8tjX0yfCi/TSRVudkOsI1P6tSabUC77Fqhh70q9A8HF58OMocDPEmedERmMRMs8Jsz3h7d2X4LZ
KjdRSsfudxSWkatg95BQMaHBXbLbxmOX1zNs2HckpWCG6TfXJn4z4leLXVVa93z35U0JtERd4T3y
yNZe/4BrsyQhqd27gJft0FG8ikBiscnYJrZdd2wmunqneuRSvl2tdB8pbcalvT4XPlHdZh+dgmx6
7KPi2KATSkJz2WYln35Gxl84Mlzvun24zOeS3OBNhC9kp2Q10DSs8DpT99V3wI+T2dwnVl39qFxT
MZKd/ARnmn5iJngOaZvjaCCzuRs8DsEiPLuyRrhcs2PGgm0h3bDdB1PT3AIzaRiZjBPPloQQy8/D
39s9jDyDvuUQqurbGtAddzg3T4hMyC1UDrCxlOBnYB3lQYewL3krrIcs7x5GeClGyF9qbZvLHLol
LgJOM6HTgJKl7A0UUbb7WNgs7Fo55DE/MLWTs4zegy7/YhpAzSp7/om02TrgWyRfs+iqDVFFSISM
NELJVzjbnmP9YSCtfpOtfnQUZfCY+uphGgeGW9wrLOuMKYDv4Q9vnCsMm8YgRXvnDHhx2OLEHYKa
vckPame2nb54mZc/Oqwzzmo2H1dlDIlb1u99ZrNxj/TdMtc7IptpLUrgHmvTP/YsCviEmApqs9yV
jnD49lr3A6nIRTg5t0NHuKKwyOIrh2dAZf7OBhL1xJbhLH9N7K2hfAmM8sXDpbSpjPGjX6MveA+O
tmZ9Li0tiSFgW5Xb0454iiPT8X1klymfIpIa28o6tnDqW0OO+NZTa3+AtfwsSSLjARZQj+u8Gm+8
bjIvbHYeNZAxNC+vvrDXjV2tWxM+y4aTdusb0VcWTvgQXI/hOGepNML7sHeQPJTzI1sOFnhyJHKE
YzT8KtLM+lKRRpwoJ+BVM1ywRsF4Dthsjp04UQ0PO2/sbFCPZbjpRll0MZk3eSyWKtxXs16PeTsc
QEmcxiIV+6EymVdGhtwUo7HjMmNFkkYB8yk3InnB1e43qAhsOwZy3S7LaroPee0aLNFVd640lppl
Gtst67X8k0g0N55sfTsXEFWaqXqx3PHQpC2t+8rFWkbRlgXV07j0lw4Pz7dxboiFXL6UgQAexd/H
n+mCY8rv4mZcnKOFqXjn5inpmZnnrZfZg6K98bBnJhq3541XeNluMZxl0+vMeU9bLR9pSUXDEGIg
eDwUnExj7TT3mTH2qLZU7scD9xp7t+awtF6ZWJYldywU9K2dNWlcsOc80AcXV+PeC4OP6/U8ZUkL
/8gIvcvE+vUVLWpzZ2ZyJLJzqZCJgtUt9WNTGuEx6gWT6NF5cWdYLnCJDNZQdaMR7AeTwyCosgg7
QWSzjEjhK3sLMO5bbYz3Vh4U6Ein4bH3mvupMVgyCqLb0fDfCQC6KBjUTs9+e+pW/y3swYfPDKNs
wxq2Fn+9xAbr8pXjlc7eWtIPhKpqixxcwXQz7C1opXzvV4BBwxBMSI3aKi768T3KYOg3Zmics3FC
HhkNyCvHPvzpk/+UaE/Cfcyd6oMV7/IUTKgEhQ7fHeHJuA7r4DUI1iIxUt+M7SAvn5sM0eA8mVfo
MlBjx5lbHCPXl4gfWLlxZkfsOnZevNd8e5nq621dfseu9bmYBvO2qBnfnB5RU6TzS8WQPFmu4ryg
lFYdhwWZOPGK/mEjTVXdsJ5ldK7ZKKyAKM4gAQ+DoOVBfyS3GqLSIxKeLuO4zfWD0TnhYQ387s1Y
o0OLe/F5hKRFX1hERRyx5Lht8M13IvzG6VztusiPEq1S/cLM+gahYrSXkVoSb8KQAxyTCwKoOlQp
BxWDhwE6ZkZpXxqHcBJi77rb0urx/Az9clu7U3QAMTUnQd59qzKSJfWMI/ReSkb7HJD9vHW0U4UM
iMHB7d0m63du7Qour54lUxdEzk3mMy6sqAVfzUk5mJXCiqWr4S7OU5071mdTef4npEbEceuQkdSV
dxvDqigYNJ+5TarfZiW7lAJ4PAV6NTaFZhrk2HfIZ1yH97ZBDYQYukpqKo84B0mJhrVOrXrKbxD1
BjsEs9kToKZBWWcKrbhuxlcVrUcff2qb+mCGJNkb9SDnrYaCfYQWi9hm9qINl+Sen9rJK90BMMAo
k6ploDu7+us4uENsr1JvGske2KvaFFtIx/0n2kOOLgSZHxBY5rLVwRlsd5OjET015rRNlXMp89J5
KVwSvCvph9BvaywPQ17HIoieljXfVWOnHlU+unvT+tRVTsFUpu2WAf6LxRCUITHcKsN1EvAmZOZ4
qPRINz8pf2m2QQfJvuG5q9XcQ6q0rSv3E7eVOyYIGTqOk8LbkMnOfrgDBsC+8usUkWxLgQ+zkI+4
juTL3DbtlkBVKLNFfUPU8ZKwA6kTWpWSx8NwKwABkjuxao9t6z5GZJLt/cz5VjX6pZWLh8d2fUDX
YlIue8tunho3VnJIpIul15GeYro5jztafvuV3HSQPlVdv8xDX8eQa1lOL4TOY5E2EKORK517Bvqr
sm1vRb2+1J2cd21PTVe0afFdKCux5mB9WAuecrxlm8X8tWsL05fAqm67HEKvYrkR6675SfHLxDjv
t1a54hY22I3N7ng3530O+F7XL+DDrhsSne06t4m2LmkhFN2ht1mMsjqLjMNlmUS9i0yvuyD9+ET9
kyWRAFmVT2J+6BacY1HvW2wsA6oeS0Z3bFAuzbzoi222cc1IGZ01eqDcNZcLHqOTQaxivPqtEweo
tWHEBtMtvt7vLf1GZRnvyGY/MonMloHsLW3uwocBA7daj8x5UNQbxr7KfxosUzaW35u3Vl/KQyfU
PYjeG3SRHI95F8a4rMydlLS3o62cvTOMe7v1rI1TljehRSR0WJonU4QvHr7UjVOsH3Ogv6U6+2xb
wfPTOg96OAdt+tKO67Chncq+GoZNyqdbHYdixTroBLesKL6Esk1UFLXYAVjs21koLwjwMD40pnXr
uvKhnKjODOCB8aBXxNsM4c2LSNHJZ6txr+GthFCg5pUroUQ/aHMTdBtQjPluCUnKUzzBXxeV/3DE
xDOSorvMnetib3IrdHa5V79X2GFb8PNWTcyfjXBmbp2KAq9VAaRmhQp3sIfDyFKI6Ddf7Es8hyqW
tjJzxuTYp+3JgpUwIVJQnuxeJh1Wx6u270hVLY5RkDd7N2rYES7oniZT+zvV6OdFMTfr2ugO8EB5
D07T+ukVvb5Z88I/SSeEV1Et4qTbdNl5wNSeXYblCd6nD3r48iwalwY/M4F1ZCMu/ja7debAQStr
e2esLu62wyayd/AIJyVizd0YuMZuYKIIAxsTv9M0+7Fx3KvRl6aqA2tR9EOWMNtAiA/UMsOFHfuy
dLasrdI7H6gF2HvWnbUGp2oHH0FW8YlR1J4bTbqLKpcjuVfojqbxAkqPsqLPES6J6GtkmhD9wsBh
hZ+PG0N6DWWQWpNJ8Nv30RRr3p3MR8Jh0/XvrhouJgNsIea53GEgqY7UjcegbkpcxvW4u85lt5zm
Cz96r9lWotiXxFnRTIWPujTcPa0wExdnLt9ha1xVlK4pzlzV3EIwVOVl6aMbUj3CjcQ+k9hpgKtB
gIweaT9ay+5ugqU3N35WFQeYs1eJkiw3YuhNWMwoz/vW+dmt+kxyrALcnX9BmH6xON2385oBAFT8
GFsBzjcSNtKZijnoZKAlwNkPayFkpeqW94V9VfO29Tnzg9c2jPo99TUoDsnjD2p711jmPpuYd+BC
ppdBErrTAkmVEWp7w3D0x9rKB0gb5wUl8UYtabJmV1Iuu8vSduBBGFgKJhR0dloxrnH62MxnTmX8
OweSLMjwFui42LScQFSnsb76JE09cEZ6loKpOX6OQflZBB4hkt39PLTzsegXO6GFvOGIfiWSotm5
et7SavEkW0sQD9AkNrwNJtYpbe/DeWKMgnYT7QUAOWk9LqVxDEu9XUc0KV1nNfgrYLa9dS4ilc00
TeHOruB9S/vRXjJEttk4bIU/0XmFU5wp2sHBMIkmQEvBRCCx0mI65RjMNp7bfDZDGz2UGaNiqtk9
SMMcVYGzvoSWe0+y70BaCyRHpzd3Q0/OoIvwjDiN1jMSvwoQZKd4muo0/xFa3aVfgTyG/gec452s
PgYLF88Q/lQj63wzZJl+XWnH4AWSDnWHVcoSRfD4Uw6Y8yskYHgf8m3nIkDC5BwLu0XQsrLnCtYy
YlfcMAvILbZynFoEyJT37KDFGPda+XMsTTe4q/VonwxqeojqGVataaQpHztgqb3mJkckhPQU18S2
6efr6mlA7NJhCqqtG2V6sQ+RkUIMG/iOKU5GHrb22MBZrN9Ka+n0LVhqtXd7u4qQ27vqWFRdeh9y
qqHP62G+1JTGXR6y+2IR+2y4ft3v6rA3lp0yBEoNx8oZtQFc5S2sO1sXu9KNrA55EJ+RB8EAy7Ox
mLcalNcn7IhADLeQmHsmFpv/L1uu/Y/28lH/6P/j6vr8RnHBOZcP//n3f2QL84cp9Jq98Ld/2P7a
PD3oH2p5/NHrii/9fYFz/S//p7/4P5zEI3TE8/jPJ/FXUNrph+p/LH9dYYFKu37ZH6P4wPkNQpIf
APyBR/aLbPbnDouQCODPKLZs4o14gtlT/TmJt35j4RXQSXtwpH83bP65wgp/g52HfJxfMXFL4sP9
8xP4g1b2f1thsRP4+w6LICyIXh6SA7yfgft/5EHbqM8YV3vqEI1spONGOcN2AeUgbnJgKzezqbrx
KUOQf2oh+urjWDTDQy6Nsd4LHmHBoTzShTHPJ2cg1Q7jEgw6tpyzOGOUVTzQ6UF9ELiwsqgr43U2
pksmrNxJaCHT59luvC9+M35U1oLerqqfiXb0ngbRrg+9ip5bSfYeqheUnq1focTzLKaMAPbXs56w
SVAEhRbDGmDmA9KQLxHRBdDejcJ+bJpJnHrF2dXWIWAmdHSbyQ/Qa3rBfKmRRgJyscBgr8RI1RSo
P3tbUQPL1plBONWrOmaYPWilZyE/nJEueJ16BLEumda/PijQQVzk5B/x8y9iA5iMycE7qqMn1Ipq
jlVki5JHH1cuuJh5P1/Ye1Nv00lfrwu/jurobSzXLkN4EZoAZYf17MsRVTn5B4faZAMxTL06jgbp
2asVEpbFDGDZ9dBpCKhsyf/JhwhfD25+m7O7dwhkKkNdJ7bMjHetHe8JznCNmE071q0K+8jcT55V
vS6iogoZYdZ+UXWIj13MJr9bVefzXQgB5OeaT1E8O116Evmcfzeqfr4AsA/3v76//vpd8WQrZkz8
79HmfgQkgLkKaVHQTDtT6Wav9TLSRsqVbQsfMhanYdusIwrEYChsQKCWxrarB0Hmpm+neX5IK8IX
Dn4/QGDOvYCawlkdju0ypdlpjFacVrc9jsod7A0jZayKRcYYn3k9Ai25hHSByK4Peqh5FhhDnErd
9wl/Og1433vFFnCg99TWa/UKS696yqVavgAB6W/h30bP5TqGO2pT5Sdd3TknzJDZTdq5+RtsfwQL
sHVuDMkPO/RLSguBWyIeGbTE5ephpMNu2+zxYrsb4XWMOZjl+9eR4vqOuRHar9tH+6qynZ8TwlEZ
p6rGHGg5QH4AspQFMXulOeQXUbX8XpGucP219L427NtfvIZRtUG5HdBvP6Z1tJyLdULh1IoiWQcz
xWZaYyIcsyncAxPCllrlzmulQ1K8wxmdpfCvzfc8FHW4F5bZPw2t+8UbKroUz3xDuLIgYR47PAAl
7fsKOrY611m6DnFv+f6uCFfG5oEtY22K5pSloUsNROwr5W/V3gNSrx96w/ERqC71vVe4EK+zBnIS
E5Jtzf12HY4MW6KP1lPuXmEqwgbiNFWe8zKDdNiAy2DgkCrm2tM8IaqCLBBD/Cl4qKZU7JphBJ7U
DjS0ZlqusZ56g5GA05+RopZ3c+gIDIiTdw+2h7FXPiJUM4MekFZWVynMZ7gjt6SCFsiFZzP4Mq5G
cYaCn31bVFkS9tMeFXaMZJWRSBqSp0gDhWJHxgHO3CY2+ZqPtcMNlRglBJZD1tbdExpPWW6nESWP
zkcWNoZo1pfZW7CaQPcgglaq02rK9tXwPfRfXWCiukJuxponwyu8bVAe4W6uBmrgvOmZ0zR0eRMH
hbXRcPGBlvnLDRbQ9iGf1/4t4u/vHN10nUviDtqgR72dwZlPWYxgINUAebERsuJprghlZJs6ZlnX
WuDupYpVZefPfkDUQTxXlEm2qssbiNhiQXlUoEovbSZ4jo8SSUXjjMY0w+W11B/tamIkLxAntWkX
XNpFG89C0AkgqMV1Gk1zSUPcVIOMKbHUvQoFw+IGzEdLBMCD7Y+cSr2v0/dfJwt5DOlPQN0wpFre
UAJFEIz/eoukz6EF0ZI3dCLlzUe9atIC01OiN+CGUa3f7OeM45m0GdvldZjsR8u7/kFDruaErSvf
SXX1FE7mNErY60bUXLi2lwt9fLtgSiYprtfNelZYbX+PYfw3peJfCBeIrSJl6p9XS/+r+vj8qP+m
Wvj9S/4ULbi/kULusui3LKIl/ypa+C/2zmw5biTN0q8yLwAZ4IBjuY2dwWBwJ0XdwKgN+7458PTz
OTOzS6KqlJ1tNhdj1t1m3WmVJcUGwN3Pf853fP+DQzAMxw6xayJiumL7L0oFUFk2MFh+TXCdrLNs
cP7aKpkfhMDARhgRh7KJk+2fbJXe02U0+srW78IUtgCj/M7sk1pMtTrbMQ6BYeCdJHjGKhM43cMP
38mfO7QfTUVs+n70FDn6ZdBaNVUXFK7QPI4fSRiL1ZGTXkaDWhkHbGaFW9AeTP+6mEaj+GPL/pOh
6cfXes855bUCDD3wNmz6CRns//xa/BaEyTlsH2YLBcR02/EKv5V9hH0B74u15O86FO1famgD6YHH
tKSJbQuJysTR9ePHw3sqG4uR/yGZ6dJYhU3VnyqcwdWqMui/WvsB2EfWclvszCEatVqbp/PerSZI
DY2MhjVUPGfSYhZeQIDhNPPpCqQ5aAlPqqQ9NRxu9liug/0bWq+AN7UuQ6wEc2sVt7R4sQIzunlE
SSmPwUiBphEWyTmc++SMV5HyZhva2n5uzOIC2OW8bZA5b4XhLN8AlC9PMcSqJ6+OrkwGldvJy+FU
1LlJ+budXTkOALs1ivFAqe9QfF/spbpe7Cl9FCY2DLhU+U42MUfVpECHq8rpYFZhtWFsz0F9JDPa
NvO0tegYRLi1u0vP6qtzW/sTkmtmv5p5ZBxwmTRELEHfN2iW2AZUQCGlb4jqSwdQ/MQyrG5xcsYD
D/8Ju2zrOzuTve1LkhnBlG1U3Hpdw8OUIoHuBWConLtTXNbpziu9gKd9yHWOTlGZnLLtovw8tF79
kg6R/6y1lLsgMgMSL8y5v6YEc4B6BK1HOSsJY4KpacI4ewS1wAndjj9nyD1ynZROfk2HCjwC14mq
kzdMA3n4cnryZ+phsjBpN0LkXHsp3mR2s6m8Tmw6JxSDnFCl813MtAQKvNm+FFhcd5Uye7L0riFR
Ct3iKzupeB+XsV7J601k+/IyQtPDErrIuKB6pfoSl2F+1eTF8gygxrilvWg5mUvoQ0clIXrBIcQ0
dKtaaNIWZdw7+PVI0JrOYZz0qjwn2clMo+ErdVI9zRGUDG0XptPl1uiT4MhX0NFf435p+nw9MYE7
l7oijRawr6Y+T7iZcxka+J2zLHpk5pJwkdb53sDsvoJOotYdsjtjHcdckxN0Sev0l6nR0rCh+mhe
u6afvkof6stieECIBxvWi0scj3HTXTjl4uTC1pKK0B/jN8/h0ubuUViAr2wyEwBkx2+qQOuWzL6v
MlEun3sFkI5fVjJVzbLrBLbiJlv6/q4BwEGlmn/XNAENunL5aGAJOEO/FVv6brozRuhlOwXudF+W
wQCtJBiJiTq3QDWfPVgj4pBkPp4q3DRjPH8hvIxuH47DUG1cusdI6M++FtgWQmWbLCoyuSV6yWFy
zht3OfnUCKiLPDAxT6+h7pnmCspftDxl3USnlLbEdxPWdKNqNhwwuvQBL4cfsdmzCL2P04M39wQB
LWLiGznHbHJwKTJHkQ2Qk6D3EV1JkbkePDkn8ncglYW8gBbYmZskN2afXDyeBIdNY+/uomxaorsx
k/w37ZqJ1dltCPCvqqItp5vINSLfXpEq6+LLIDTGCsNOOMkXUcf6IGyW9OlsJ0qSxFM6TIbcNbpb
66uHyo/2BEXFOGZA3Ib2PivCsmj2iDPZiyHr7D4Yi2Tfmro9pio8eRjNPn/ywP2069AWyOzT4NpH
qUZ96lxG9ssSR8de9rZ9nETYwH9W8iDw8XgrBStoJjVMo5+IyXwxTtL/sRe64f08D9MXV5CwJCFS
1jsngxpa5SCYVwNyNwHM3LmoO7M8JgqiYg/DA10T/yg3u08tWuM42sc1etaOcUa1wbZKwSFj3nXZ
mXqAODMtM8Iw+KRa/qnpjfKevB/7cVkaAzEMrCnYk5z6m+M6PuS7MMFGJRw4znNQLJsBBTjeYuaq
LnwzD64xW7mvOSVuzKby0dqFnVfc4v4nvZD5FC6uDbfm30kKNL4L7C1PNgyMmzxL3QXXSlHdR0Wc
gCxmGwF3B4WYbCCm/v8ncthV8qWtuup7/7MA9ibp/Esd+/9INANVps2c/3kbeF8Nffx/1q8tLKXy
p93gn3/0L+HM/0CcxvTYu5napspG6U/vt29/sCUbOkBhnvvHv/nXZlCAppP4sW3X+cnBamsruW9K
TvdsP4RmoP0D3Qyx7f0+zaNcAAWYv9PFfWq+4/APqC0luavqoLjuJ6x82KrXCMowPMuGY3spSDeV
BFVvA3o3xxWBseQ8uXgVxjz2UY3swXpIw8R+drt4vuGUX96PnRt+omWAzRd7hvrgTYs81C2xUzRm
zikJj5cNUlql1pPKXHybhiL4E7ObtE9+biAcWBWjV3L59nFYmrzBsJlEDIPwS1pYtNyY9vQxZaxa
ANhhcDk7u8zonOuYB+dNFocODgMF1sJsDPvYhrOmkLiSOLJhx2QpIDpwUK1m90oYbVivexHaF0Oh
nzeLb18ELNYlI91mfDEL3hQSSth/41Us+KRMZ611OJSdvfJrfe96bj5v31jFKqTsC+dnj8814fh+
SLCweVt7MYvvCT/4ATgunPZSQgqzliT8uriywVlPMc1zzXLI38s7e3Zq2T2Xk5ndBRkbWIhU8fU0
0P1ad3513aMEzpeqUZHc4JUlfx3GHmt/DqAtXJtWw1OU4lT/FrWeTZ9b80WmVog1yrSTUK2orPeY
WS/1Jyvy/Zsw51QLtas1rQ1mJofMVT5VO88vkCgX70LVRX3NJCm4kV2cxCdkeXmAxVbvxqoJTrhk
mv0Sx9MpHgKxU7Fm8CayrO4tq/FvDUDm5zTjaRnMvjwUVoRFIGyth7CifDHBj3Q08oS+z8GrrjMk
WuN+cWgwdL3UOjrdRCg5h2dMSkzI7sD2ArsbRKIde57m87QUzUtLbOa5NmnwwpjSSJecO1ZiesL9
bcuqBHMWVs+tqqMYQIIT3At0fB7SC6iKQLUM8+VofxKh6rAt5IYU8OSM6RWDgg9E2YLnVNtetAPM
RbxBEXw/hF7TLyArZjHvk3AwToLVcsLLBVDENpWPq6RDxOkvYplJ5spTPdx5VBBlJ7JPwU3tG5a9
slrXfSyt2bmKO8OcorWdY9VFA06rhWmL1S72PlKzCebbSNOpJkzBF9EeZplU/gvYVuaefTA1OCHp
UeL3MaaRDJA9NJor4Ps7kqKLIFhRsUs69m49mBd5A+T2GTZFgHWV/9FWZIFUG0bGPXFHsrRZSOFZ
MV4mY989x01xDgM7OuFOSIIvtN6kBLKEXVSOcYwK08OJTPz/UdpmsiNBiuJCYTpWkznbkf6IV73N
pJU4x/SU9KQ/jSCurmBrN9uu7u/SwSL7l9eCDWIqqBjNuIaeXBczzIHb28AdZYf7qm2XdjVIu6jX
gB/rTZKCVHczFe2M/i0rWfIeaFlK4ASNgxg2M6iHSwO790U1mDiigvKuWvxTn3bhRQrYaB34lTpO
CVNDTyX51ukx+zSV2k+GY3yVC0+aPGzXTUjJrm+l+zkRUHnr3jt3s7rvF4LSWGL3SNHyyWq1aDwM
w2qZh+qasOAdh1RINO3Cz9YFaKEOlqoxZ3xFXh88Fm2OHSezS7Osu2/p7J3NRYQvVDVTOzk1OXSc
0b9Ox6qDaIB1wMk7zG5DaO+aCirrlMTz3nGXc9L48x6jUL+O4y7fzRZOSmRR6G4Ze8+kbat6Qwru
pWISre0g1/jA4BllIT4DauUom27ZtJftLkWTumrbcLp2O4bZSVd9Dnja7pkn+tsknMMddOyUYyeM
Qj3IPixVlaBIjcYxLRLrkmnduBq86FOVCHBlVkxJjTeXGxEMDCj7qn2e0oajYRH1j+nQ9lwYk7EH
+vydySRNunE6b/t2sh7oWQ4/4ZRDGnjrxnJTp8C24QvzYuDMnB3swpGXJcjoHZFQzsl1VHFuBiB8
9EO61ZRheLcDBJZ9srA0pQXQ+F46BVeFu3gM6JtSt7Lqokq/Sfq7oGvCp6CBIG/LItyyg4rPGEia
z7g6Ofst2AU/1rjydtYw4qhOhL8ruj7YV8tYv5BFN5+DFuBcPwLWqIgxnEufxo+5mUDZ2oV/C4iu
vOpcZVx30O096h1MEuPNsMNb755bEVpkJVSfWWx70+gUZIVPaWSpcWF9QtAjE9CwwKPD2XEmyFCy
10RCYdlnOwQJvTDcaHE+oB0wbPf3Xu1lTHcjuEZswVeNMRhPYJu7Z664Etf5MNWXpt3eubQj3iok
9rOdZuXG750Ld8i5DBzmHEp0a2XFzkGIVoOpHYOUg5d+szun+DYUbYHxi07INRyJCXOK41IB67Fi
r9O5Af1CcuCxiofxLg4y/yvJxmgLMsw/NaH4ZATD9yQpo4+ucPU+ujTXnSMfS0ca4GM6xFsbZMPI
3INbqQkfo9bZK2pPKV/GYdjI/VLhhltChjJ2Mn+cxznY9HklNp7XvjZFDj3NBmUQq2zbWqL+FoXw
S7PUgG7t2+lhhEZd4Zyb6a91Q+uGipZ2yxksuy0t91xGfXliSDZsi16AWRPRmPTrKW6nmnN6sZyj
uQ+3ddF9HdL4AdcMWyn2FwmlxavJHvODh6drA3VcNCs0m/7IyERvZnA+9Q4eM0xlNpi4MHkVWfZg
CLfSbQDmp1gQ0IDM6H1rrfZuGK3vIRWpFHnTZ2J4L0BczQ0n2ASsjekdg5lSw9rUSAi7eamihRxO
MBynkrJW8PP1dqQZeOMjNR1SNReANOoLpHuwKK71mExzhqm6CSFlupxu4HftBea/dW2me+ae9bHq
1b2zxN0OFwGpOPow6A9ZvvbsP9e9PVT3YGtAm3cL33VY2PMmn6map7UB7lPZFTs1QJZvDf9LyBTL
Arr4YjbSvkavyzG/ytvG6rmu5JdCQN1IloGuUs4ul6B33oDb37xiYopkfQW9hs9i4C2tLUpHD37N
8YoMhUOQmfnF6Lvxnh2LdwfhPSIhO1Gty+7xGjpHeNOG1RFc6QY7yj6JsZPPJFcwuHKJWn5EeFiJ
TWultA/U6SOzUPcuVPGwrwEDDCuPeNLdENPlgfd/5Y0unw45z2FJPxlN5yL5L099muz1ZhOvyTUE
sgi2aXAp6gqzVXRoBA2UsWFeh1N3veS63h08D6GjVVoXn9o8KBEK1MNEurm2+muOj1fs1og2uYA8
oQYqKGQDjPlxgOiRcptL6kbHjbQTiaGPtNupTH3aqYumJF1DlGL2JA3jeBNvBB0W/yv/M/hK+vlv
5H/BSey3+v/NN9L9cz6+lslPx74//+Bfxz7nA20zvuVpGVzzqFGI/zr3mR8kkV6gajzuiATrmORf
hgnxgf/IhZKM+yLQRot/TQEopOPA5zI1sJCeMaf/k4PfHxT5H0K/DtoZTg6yw4JhAAAaPSf4IbkI
dKBbCjbOdF+VYC+pfE0sVOoJfSxUVbAlwUH7MzCEtthNvdsEK4yO7QX9NOTYl6Yl7EWhJxvoputz
uYkR6Q1QotGAA/ML6fbwetLjvgJ+0gaShLJYtSjjWxUGXbQ4LijfJWJVrwyb/patt7DJWkFOAatH
M++yNyxRPbXd3B5nPXy0fMfceuBVHkOhw2RO7iGlvE0sYz28jDI9xzTfZpowPxlvvk06OUfy1Kje
JqCmHoYSLA43pImoB1+Sb7gmoi+THp4qPUaVcwWAEO6nc4rf5qxYNJi5MgmgAxuPv9hWeihLaVh+
OepBLYyp/mrUw1tLj3FDM2SiW+nhrq/HvBCpQDZIPfxVegxMMaU+p1HrC7YHdXbUA2O/5Wu2DGId
ev5oHksYAttSD5mFHjeLgG/e0SPoaQmKm16PpXs9oDb1qDrVQ2tCH8yvRz3KlnqonerxdjaBhRZ4
b/p16xdXpWeBDJw9l5k4/DjMZiWTcqw7/Wlgdt7JqL+3OjyMe78Nma0LI41oPtAjd8zu9pPKM7Gj
B8zfFxhZmM0vYQihnIH9bJtkJCpmkFKO3R08Fj/dspGnm0G3NHS6r8GhuMEbbwrd44D02QBTMG8c
GF4VxlhhnwEpDy+gbaLHtrDVNUoohAVKIozO79fyrTcipkHC1l0SmCRDql3S8laavXOFJvxMvxVs
Q91CwdR4Jv9EMwWM2maLql4cJmorzMqiXjtL07twoNNi0O0WoaLnInIxC6e2vyV4QAkdVLBN+NaN
EeiajDQI5W7Q1RnBNH0BbWLsgODSrhHrog0ucnqBdPlGt2ieCniYreXLaZPZwtlwzL+tuNqA34Bk
1EUeha70oGrr41Ig4gLzNHYxY8KV1PUf8FvkOhqoBLEGSoVyaJcfHc+LLmpdHSLpar6aHepEOOrj
uaMzg50OK3IObuZsjw3XDZfttFK6lqSeY+qhqGbapG+tJTUBlS0DYnUHtUbCH08cCk5cDtqR9Qhw
SCU70IATVD1pQeWk4uiPkhRknpzKlNlgAAHFhePsvexcUzoo0FlsPVmE/tOtKdPk0oUmf9uTBo2f
lbNAxRmoJrd3ZaAr0xAJZl5/TM4kmMRzAKrFhJlhAbVsQztut1S7GfIjjJ4yvZgqETM0qiAG4jgx
F6fctxXhoPsxSZwJQ1VC0gb0hpHa5NfMMX3JMqrsSwShrPSWVSw7sQZoHoCo7EDubrjMouilsBJA
cWlsJfw+RlVweU4V1gaFaQFtwEoUHx+tAKk9T0vf39K20mfRAVqr86IHXP0XLwuszKXfio0X2b+h
h3pH2Bg8Vhlmvc3/c8PsIqUtxihXMebX8KFEq5qBE9rCXYuefT83lqW2/yvR/rdWapZQRsH/WaJF
lI6T6LX8ydX4xx/6a1YvPkApCDxgGpLRMUv/f63SgfnBQVMIQA9IfU27LMV/rdL+Bwv0gCDWZL/R
B3gXf87qgXawpJv2D42y/0Ce1X7LH6fonE70WNvmac+ZwjHfV7Q0ylB9k3egbWqH8nQsURijDq0c
k30Ym6VL7DCei+qUagXoMVEUayru/rpddUFNEVUylsLaUOVnU6YnGRzoML+TU1UfiQZJgTI13dNV
dhRW//BN/5v5/7uZPN2fvGGfr5bhPx0U79+53w20JKHeXNLiQ4dlDApMTvSDzaNnnic6/PK/MQHY
/jspm5d0TCyrDiEs+ER8Zz/vaIwkt2tjqCLg+cGp6omsIlWw9dmnjsPwbaXLGQ9U2NUvKGdBo8iP
EGOA9jaM4U5GsVVdhB5hntUyenwr3M3Dshc97Zu023v2tipp5Ipt7Ay5sPpl75Daukw7i86aKMEN
CAMQyxeh/4ZTslQDzVYRCaT00nApwMu1xxJ3kHwlbkmTZYpzPyEgE47RtoVjUGxIIGI9n1xWPXiw
LbOoou+GgbmQMV/NgJMf2CpwEUx2Ll9bm6Ha7Bi0sy19bVHLxmK89qJkjrZTEmiFWb9zk2h+u2ni
SDxYFmfWVfLWctO1afPCIqIY/BHSYxKZ+ATrpCB/QrZxWbuVaGLiSQXv6E3b5jEZq8e2kTGR7sYQ
zN94mHaXosJId16yidXM9Wa3/ijwfcXHvoWj6UWdLsgUnhzvoBSJB5yKQj2TUFMU0Iqeby7plO5Y
Iw+AZ61m7I97K+MPhS47wFWOMT2CkJHx7kRKW+5aLQ3TaEoCaUQJEfRcomUlBfMOxMJkjaohX9Mp
Cp/oUQmexuGtDnMiHLtpEvc2Ru1Y1rAv+JKS2eFXcJ2+7z7GUznWB+wiGnRcZcBlQEXztSRGTo+i
kn2zEJHDbIkGI4V1GS0Q6Y6L/kmoMWFg0CQUf09Uy10GDe3kKJu9AbyeieBVHE3LLYpkrFap4ual
aBauftMk2HDxyHAT5iwrmBtcb/I2QK8QJUO9CmEwwYA8qfnBJTJ0NmSgCMCkIZ1Zixyq1yglMj/P
kftkMLo5YxDLb2w7i14FMLUDgqHjk9Etvdcyysbn2jZTxemeSzaemCqMRNC1w2PiG2evm81HoVzI
FxJ+HgY/NvW3IqHpYiNHj8tmhAoG9h7mbXvNFJLWVLaMhHupFWlsa1nN1CTRiJByRYovE6RqDJV2
7Uz0PMwDVUo1et73Wk2UkRYmAyM3p2K2irhGOlESa4grJrqz0L98DigB5zOHaHyp0wJ/861Cnm+G
m8tLS27KrK6mcNcRzOo+vjXCMmbhRjAWjy84gWTu7jNa2y4lo34QvqprDzigK3bkoVA3ji2bwxAv
szrZpI2jlVcNmvKpsnSBa4aBektSiO8FcYuR1SDb6rKMM9E+ZAuZtydj8Jbm1IvWaG9mFfBO8pm9
7uMCFi8gYmkW2V04pi3cagOKYDgyhl5GhwfEMhd8l3RO810qc2J0FQSkgpBhYH2EMM/Vju0ld0/d
eALVQl/IGYkqcoe6cxjut74p+tbhb1GTbucsnQqO68BMYe1bfux+VDmBnuuUhp5m7UdWVn3xbEo3
Yxe8NhOOgtcELpqqA7p/m35CeoIpvcId3H+1Q7/PnlueEBZ4wXCR7TVdXKVLaiMCaLD1MO20W4Ex
HUsMl9Oxazx+8z5v6QrvF1s9++DNs28cKDm6rJyZffi2MEG2XBesP0uzgjbyFnYVui+gqujnuoiF
jcSPGR7Qk5FE5id4Zh2BpMgnH2wGH+U4UOOwWPceZQA0eBbV8DhXs7ElPxVvvAp7p02NxoWdB+EG
cTTJVkUyTivLtmZOpV4hD0Y3udOpclK4a89R7AwkhmvplhwM6zlE7aqrixpM8FNHhHttF+Ynoxxp
x6MaBEILuJAknpR/sDIRfc670PummE1gMWjL654WxGHC67TN8laRn0ILh6cPrIJFalMxJLzzUdo/
WXSp7URpRuEaEKpcmb3X3gQRar0HItDW4Nj8Kqmj/FGk6EXQVvvdok02xqgUYYYID3MxwZrNKTqQ
zjhsSRnntzzW608p+e/70clvJs9UyHlNhz41N/Az0opUXlLRZNS5+SNh2S7aEfYvTwEL2CbPmuWY
G0G2wy8ITbnBHbTKPY/H3mhXDyw69cdSgjXfpGTGd35iVs8xTQd8tQyEVr4LQWsN7wQ3PbmoVZSM
dOnRMfM9aT1YmYPDCZZKWvKiQsCt6DxnE5uynBFE2Q5sulaMl00Hn9TP8X+tOS5UFx4S3S6S1i3J
43pvos5tWj7jxzRra44DAlRQOYfWuJ0Lbzg3vRPeBzUYEKNboAYYgbs2UoMi7Xl23bMR980lD+z5
YJblfEFmLrhYqCzezggZzHwZbDfDTMtx2bkPIzSbrybsGHj3wXLZli2n4N9viX7ZzHFes/lfi4cR
pND3zsumKmw/zevwqPoatA8urrU52SxCjtESqzSRQjl6t4ffv6re9fyg87Ar8vAKYCWgIJtkzJsB
4AedB3t17MUTJ0dS0/VL4iQ8GGqGZ/7696/zzvD59jouPUlslwXGUvPd7mvExTV0QRQeoYjrZ6rZ
1i902tAHrEIeGP/8xTzTxHnJBtn/hVgHJL7Dr+QGRz/HyVNVsXPRUb2OKj8Ef5yu/rvmUj6Xb2Ln
RcsDh+F7Um90f/j+mijwakOZ7tF2Z+tcEmbeS4C0a6SJ6rLz4Jf8/qP9unHmJO4Ki8uEXC1OuJ9f
zwLkU5U559O3xuQ/lqAypqYa9HKnW52Tma/396+pzbg/XyPapAsHED8JP977zfpcRA7hm945tq6u
1/VAynNqD0JWYHDPrIGOy59aG8XIP9M5wPLx+zfw60XqaycM5mcPFLB870KpSqcxkZhooh2wwk6T
YV8oC0vW/+BVEFEDV1tnOJn8/NXmoZgYw3TuMcJff5hxsuw9XS38z1+FA6WPQQfLNkGin1/F7W0m
VgafJWg6XP8JExCh6v/BZSIDx8bAzWmH4+a7yyQj1UPpWSWPgpqvfdLGXBTjPFHKPYe9dYYsMS5/
c6T79fnFM52nCR/Lsfmndx+M9Eo4T7nrHA0QFh+twScHao5sRcBnBdvS19MmF1E5/Jsv9NcnCwns
gFgDn5Yo9vuPSqc74P9aimMGqISiLJ6TvW5dXVIqgX//2/2bj8jF4eHI4lbnyC9+/u08oBC8VCGO
bw6/uaAGdekI5dPFwBNbn+CUvmp+/6L/7vOhv5MbhgTqyrdSyR+eMKOZlHaM2fyY48g8lIVjX+Sm
H+856PztnU6s8v2tHqBOSMdxiBj4v95psd/6Js+T49J2gY8zqMCkIj0zR85c2nMFmqtchTPbZBqb
OVWw1+rOYzOqcOfgsOJwUdG3HQk8NnFHT7e/QFq+8TMXD/Dvv5Z/906RPtCoUccQaN4tKGUiJwxC
6MgCY5a9TsIE77a2OdBc5ejBZsC2/vcvaf36HApMj7uK5TnwSbS+e9hHOXpJyBp3NHyDvS5BLM4P
WEr6r8j0LJlxHerrPU2sc0M/3ss4Shqu7SRQd00nqBRvIvxqO3ZJ+A9mkDL/eHEI6KFEDeJm4LcT
7+56E3cuwT7u+mLx2XQjveLiwkTVQdGHtNYAE/r9N/LLtekya+JuQMrhEnXev2CTdHrTPy/H0Qmd
1w7fOCGypuQyVbpl/J+/GLoRcFgXtO0v1yZtblilwTkeVaTUDW2iwcns0KdX0qw5Jf3+xX75qflk
PhWaloknh8fZu1udoYJVw2Ccj4wqOFhGSc+VxY3IKfH3LyR0FuSn1dXlcak3D5QAsKS/3xnlIKIV
od2JHUSLt93kDDfAFOj67JG29aW7rCmcQASPMA3TW1QoTiSe3a6aXC+DVaPuYgIP9MJNHJbWnbXU
LyDF2oOJP/glQPWydyasUI7nTcbheBLRfNOXVcBE/vef5NeLAUpxIBFMmVoSVnp3dyQlbnev6Loj
Vgp/M9G3dwnxKNlHJn2vv3+pX25+AjpcA/hSBZKe/f6ZT/eDYIxGFVaLbfXCFymfv8FwuDUEpcxO
qf5WP9Sr1w+/EhZcnoeAifm/FobY978SgEPbalrpHN1GOd9cV4xHMO7B05sg4nodqk5DR8YjFBHx
NzeZeH+JOLwyM0gMuJLBLzshBtA/bjKdPOwZbiTp0bJQkpaNmdKp0O1nFyKVwCQb+p9dK8ucDd4w
qzsHBNsPVFpECbWbcwnoRJAsMYcCFXHJtF7TtJ4+WIDcX+DPcR21hdul+4G//8aj86nkb8L2QAgs
ysi9ZL5d3cq0W57wDbLcGSwG+7lvrfoIxp2qBuF26kZOCmmM1jJ0vwzhKFwlzUg5L5VTIruSppG1
G5Byxe2E2nBu3d7YKydxb6qZirZ9xZx5hYpdLmRZgTSekKVBgXWeBAETO219ot0RD6yX18u0qeZm
4QC9JMfJT6y1w6x0YEIKJgIbxdAkskf7NseperWXFCcxwKIU8Wiordz6SldEhihuQC5ZB6rWYugc
ZfHNOCv+2TOapbrAuoLoHbTUoB/cMeNUVDYL/3ZpvD83n2MWorzAhWGxaWrutRhw2PwdtRxuSgYT
i4P73Kogu4h8Q93VClvWDf7IHF5U1Iz9bWd3/CCChglaza2izvAimqwXLVyUZgdWR91lpvBPkevq
Quja6r6qzuRTTHYql29EdQfnqm0sLUVNOT+zMhP+IB9dvsqJt3tf0yQVbDOROidajtm6VzVuyV2S
9ZnauUTzdQvWjHJFEyhCuF/Mrr0lKcffiMsytD4vk11eNCodjHtVJbx0ky2sWoEJJbZZxbndiesS
GFF/ZyWMLgm5ZAivnFerdg2jhew3iALnYhyxuWSboR8B7NZlrSvIeITLJeIKKksM4aAXp8QDYB9a
00WsKMplXdUjQdipaFp+PXRYLnPOsFjMA1TGaDBV+2CVss33MMO5wMrYd8XZSFrWhrd9AJq9roaO
XKSG2K3QzSzXs+fLECHEb1DbKvU96Gks9pdR3fwhwcl84M3YsbIenFTI14SwPgZAgjjADN9uK/L7
Om3NPTN5duq/6vRxizg/Ww8W/rjkgNqLNi96jWNpXclV1PguJ7M4l3yvotOauZ12w+c5qaZxpxJ0
+D9GM7gYXkNp641E5LC38yvPeS2sVCuxLfL86i0JqCiVWtZvy5/nUsJ0E6NdeScJloJINF7XdFf5
mdldUkHNbVrUBpOGfHb4Yp1wdOxdGogoucX5xxuxTLQTmDOiuysXq1GfBuXZBuNLT2bZnV8FariS
CkqOm6bQ0qD4JfM332CSsU39Rji3s1WjAscze2Ob+49GGdZjxgBUm8TIFVwrDtMcTRXrbe+ZjXnG
VJwqkUpjBuDXwYMKQybeax7hMj3mbYdaP+eIkvjQysVHkkid8FiYpkJqQyHvfQSyZRjT6Y8V/38D
zX/jaGLzpo+6/3lOeoHYXlZJ9+Oc9M8/9Nec1IObjjrA0gjxHIMSf9+fbqbA+iA5t7BbRhjTURW2
P3/NSQX/irZPNlmuDpg43n/NSW33Q+AChkGjcWkqMhm8/oM5KZuod6s3CBJsOGwZA7gXRDJ4pR8X
0MTlKsqtLj4qYrnshGs6PGU6QzBqPGjJs7IckgNpcI/cCqW3D2VCWGL0pdpEdLQ1B0K1Ybj2q9w9
LovnhNt8rGhJ6bksbwcbwuTeSmkJuM2CtH1uSseV67G2YbowyQSqNIpuPOXE/CkLDCVIraHAurAC
s+qegtSlqKub2uVisZZeV5lzXl5y9njbkcBKvMaKEB67Lqwx8VNF9TnAG/7lzfzXU/iyjWh4xVEA
WhljuE8UYmNFkyNOgYDH1WGUuZocQnDFONx1uTB2CPg2M7V8NMkdu1ZyX6fpfKtisz+jphZ3RWoo
mI2qMmLMQgRJVpiBKN900/oul/W4569vSKhU8yGaENlE3SaXVuzvVcLQg4qlpNrJkqyF6GJsSz2r
v8WULGx2Tu+J55xsLdOfNr+3mClpOvinaJwBqlXYdsvFtm8GYIsX5G9QhC1xE7tLt5Gl622NmcCo
qg0GWZ6Rn+1yupMmwF/C07T+1cqLv7gU1e4dD2YhUd3skrUx3/CAbe5GKL987RgCrniaO+cpLm3e
27AMJwiYDcisc1i3xXdw88FuzBzYMzLxoYB53R3nzy8yJL9shWRoXAPoH2km1j+5PPN4o8oRWty6
zuWRDQeLMRHT+7RF3CfRoS5t9vY3CYB66n7iz+w54lda5EDkR+oyNyUcVJ2gZFlxGPLVxu1YqeIe
ZEVBo1renfE+x6jR4CfDILtt85RZHyxjKJNJ95gpsgQOPpbznHTFpiYIu7Uk79RgJ0Nvchg9LNRj
QOfkYT2waFQBf22atluzrq1L6pvM42wOX3P++yypTn7rjRzYN7MKgzsvkfWtLxwGU8DrQ0z1y3J2
dEd2Wo/GnvBRtV+MobwzBVc0a1F/EpnjYPsXK+JcAGG57K8q0jQvzAdh0hh9H5N8ji2Im1newLT9
v+ydx3beOLa27+WfsxcDmAb/5EvKwbKksjzhki2ZmQRBMF79eSC5uy25jrxqfgYdXFaJJAhu7PCG
Uew6RHGOBnxKD1aHsT1gulM7Cy7GkfERtkwYWHdAxrYRZ/qx1yB3gbQQSuWzjaD9ANN4G6z63rKq
Q9avN2il2TjwnokREB2o/i/LhN5h5qkrC1Kps6gY/pK4cTq7oiMlv/cyDE/qor1fPINrdvuvdagq
jNvIm7d17p7hN1/Bb+NNLU9WClMDpJjk+LH/wg0XnNsSJ8dyGq2LCXuXfYKvpQFVPRAM+ytX1vPB
6nEuq8rUP1mYvNyLAJ+SuYBDDc8JAjZ8kKCwTsMk8w2P4AF5724/hDUyrCTBJ0V/uur8XONNiwQ6
c1T4Uk2CMiXNKfCCot7VjCL30yTzQzkBvBNl0d9EiVd9kpGfnowFy4xJCjPoOJg/1XO1HjW6dHcS
w7KjFXnQC6FGNAO8CUkYkeAo4fTTp0no+8FZLIyKFpSaBQMZPrC2F5P9GV0mgQV65yi3uF6SyavP
6flc1ir61nYtDOdgRV/IwzJOuGT0qN8m14sX5Vd+1j82QLVPfJqTmxUnARSWMFXMlK2/9opHNk4z
UBQq9yytmvpguz5b2gaXNdbixZa0ul4Iu5tsNtYsrWpbhFiWr+uA8PiYEJ+hXuvzfJmXr/GCbx6j
PhvhGjV/buwAR4moqRlZZiLejHE1yOsURMWJhw9qfySBwQIr80d7068FA79yBMeHCFi1a2UT3+gi
/AEsDVlAd3YOUxZV0JAjB+MbK9AoOwZNjayhwIUXRbB28HFFk3lgGbz8eogwgjssWTfziZP8Ih1+
n1VL74jjZWz0ad3Y2cDZYnXfS6vAeDwTxQD0LJvcANZb1GJyjrLmMXLRxXo+CxV8os3YfvZQ98X8
a2LrnSg9+l96rPlOs7VeUK5dPf+bZvdjRTh0yA87VhIK0CMyvKFxgLB9gsbAaeva0Wm3JEass2jQ
1+70Cbr06VVWDdXnCBAdcv6jFR5lZcLGjdcpe5DIO+1HV9THYOayR5ooNhqdEcpCW6gQ4jz1FJ5x
oZBhsFkhJp6MEk1sqBBoyHrziusZof0HrsH2tGHegEPw2PdMyt3O3oXBAnNlhZ6dbgp/ADQn5nXA
69nrHjtl5w+cySlCk/VwgQRYfYV2W/zDzAGxDqsS78bCWfcvC5jAJQy0k9AJque69oInv4l9Bpew
LgYG9mO1T2ORn/jteFITbRnWOO5C1gkUFswTq7gBPxLdD+PiQ2HsqyersNEyrvFuBhOC5PkntLKC
e86ReE9dZwiAi2tt2zCUADpRfUtPVD7P38s8jwXBiDl9XDbj9RxizLJBiNy6zosAkqnr1eqhID++
9CqZ0qJPtMAwFjr4STx05ZPQXXkjp+ZzhaO8ixNjk5yUlNA7BxZriQW67q7WDvGyLUJlEeSUPk/q
/UKj7AJg6PTgY0T4nODo/ZXu3XhorCKGGJTGqFrPHdbO0B3G68Yn3my8Xlnfkf7trxaFu+DGowV1
PIQLs8jQmuTXOJ1xCljWZDiBnuBNuyIvumUTh3XxFzrkQlCueDD3REIhbs0eMsRaVid8czmNBdeW
y3bBHJdmQhbvvVDZD4AQErFvcrucd85o+UcQ8PObJJb2Uech8NkMA0P4Du+FI8JzEQEDGOutV7rh
OUDV7tTJNI6+Utgomw/9rnLZcKY7sJ0jhSKtDV0qKFy997MGpTKnl5+coddIU/sQU60RC5swadHp
RBIdSxkUlTd11aiHUhU63OTp0Btx8b79Ui6ubPZaxLjSyKJbnwMSqIvEnuSO1vQ3rNTjO3R3kY5K
+/bgYVeA+BjeM/VmwcDA2k5xSUT04Wue5KEdXsSrCL+OFK7HMpNLunVTf23wAFq8b+GksjOdON59
DPMQhXnwzoJuzUjvsXXb4xSaDULR+GJFx4WX4TheJt24xezReRzjET/pxpdfU5HoT36s0TgpZtd+
GFYSyH1qTwN7ye7xrgXv/RR3bodZIjbV1ilTxeRLHuvmbll10EOgzeazoR+Wo7HAVQUZFgM3Cz3w
q2l5ba9D/qVrQqhP+N1lSLyMEZYxEbaTzaLjT0wL7cshFOkujTEH2/mxdK+CitwwwijlCN4aEF3k
e8W3OFxd7ORRP7xvxIIsKoq8WCI4Fm2JrdPjcxNjnIxNsosQh7smJ25RjUerwMhwlV51GGx7OHeQ
nggGVT9nhTtgVzoE4XOAZk4GS63JdhCu1V1KefwtEG0CL9n28GAQ8dpvpRLDRebOtGhIs3oqUVrJ
mxz7SFQxSoGcvh2PzQaBMHyYrKwitHjTBbpg2V9VMle3uW9nR3buW9QHyXCu5Bybbhn66aWq421q
kyPW6KFGK7SGQ6M6fEjyGPuNxk3LL30UOooqeULxK6NjBYsMaNIecul6ZtrPpxMz+3OesDp30T38
nqy5PtS51se17MZDCh76pKtSb+eW61+S3hX2Uq6jHlOvC6+9rrOeHTtXJy+l3/9VyX+qkun5flQk
I/vVl28IP87Lv/GzQqYp/i8qZOrZKPRs8UuF7ISAjEGm2lTHDLMADf+nQA7RR2V6+yK/4L+4mP2n
QPb5KyOwiP2ZFzLO8v4R3cd7O4Mwt8POQIcC+xnuOno/4Y/CcanrwRbPGfPN4gfiQYln76bJtTq9
07pwl/uiYgZy6Bev4rzsF9//TpNdNudOiy0essWWoOFr9KYhyDYxXJcMPBmcyztl11aBAo+QwRps
0BhI6QKOkBIEdM1qWMCIwbemkQjdRIZ40Ns4q95leqDHVKHGhDGrWGKMdkza7UdHXp/mHXJIaCfF
altNsxUlhwa/Hplvlz5LgBL/8iKvX5v8v+qHOW+7B6TSDPyMCTf/wcDhN/xDi2x+q/vVf5b9ROaI
9XuYAf5SEKjKizj1Yy45O3lT/+gClANvgbxCQ966SOPwPI0zpfPdx7f0Mlj77ziCW4I66xgLO8Z9
tFZe5ri/DIUhxc91i8T/k0MJWV5IkadGMnToYDZnVpBP4NzCHL0Lw/6MBtiusyxhGtqyLR/buV8Q
lggHSPunqDf1Nt4WSbriTVXR6+33mn4wEmAqSKx5H6xlF1yuK0qa2b6ORe93GwxwhzD+w/zo7chN
IA5s9iCTVZvhTsC38LZJk2SYs5C7Nc82APDgs49MfXsD+LRdrz9ePb6oX2Y55kJQ54SIGSK99KXM
+/5l8fBs7+IVAfgnsPUulnuYzpGNblybL3z2wkJcTX3re0hCBH5FhSk5tcYbpJWa4sfHd/J2ZPZy
J0bFBVUTQBr0usyS/HIn9GEQcZiL4GnsIxVc+rTkNXqZtQWy6RRY3oqD0sdXfDs5M1ek1SYgD7IJ
I/i17xYZfZaqlPTLn2Yn7XPx7CIAkGUniRzYC2kLKzfbVPCk/giUeqeJZ64cOyC/mNy6LH38HsSD
T4ZTTqNbP/UIt9ThcQ674K5yNR/zVof4WcurOV4Tuz5vc9UE9t4fs3K9L/pQ0iuuKyIH6CJ8/JBd
p2WG0UrGOL46L8dURcsxMskCmOzHq/XblvS9ANYhLUPHDtkz73aKxfQ8bOnEfa+GTqGo2S2SEgOe
8QrW5Q9v5vdrsfGhkgS2S5MuCswE8pe9QEOsV3FR9t9nLHsQby/CKhpv4DNy4v/hUr9tAkpT4EH0
V5lvO4wW317KgYLvkhg230nXFIuL0ElZ/Bip+P0vbVujMr1L6rHVf4LqvANQsAd8hLihtUY2gA1G
t+8unFiOPUvlW9+QEXbcdRvTFhr6bRhJugBbB/h/X8G4EGX4uGRVilZDp5SKcUiyQHfe5vU6kaZn
ESIF39LGwYzWawJ3OUNRV4Cm+vjl86ZZh1+irCG+huiG8+JjQ9F9v2VxoaUlOKj2G10M+L2bAmHn
9RrhBsX7WRF9WUZ8hWQPmNRLcvZH3wjBYdAEy0KwjEuRLt95l4Dbgx6tc3P8iZK+8eiItvjxGoBF
IokuEELS4EufxjFGtWONgL02Wrk9b6dR8Gs1DkMOtFkSysSEaAt3dC7oLiC6PyWZ1PPDurCTIZjQ
E2Qt3KIgB0R1Jcfm8OCKDp/xTZdNudG8FEX9HEwwCZ2Np5N+ZQSWxP6XJm/44hT+4dyjI4u4wbql
GZwv+HRDqdwPMP7W+5VJzng7qi4Yb/qCfzJtsqbgm9hkjNl4Z26GXEm3qUE2ILdbQLshqCBAaGY+
raFmYDWWNTAg6Xqj2EI31ckh+m1y5uh1cOQz2defNKMkDjOQygUhuMcAJ132BXDL8dbKp5gfRzzK
XM1KofNdenGZdw8Uov54nIixyy8qAebsiH7W3JxhkLAMp8M8zOylOUrMt5yPubOcRWOPQQ46y9qc
mV2UuAQRGaGGiSMIpkllSaH18gA+igg8ahPacVDsbCyRWVDfbth+/ZyagFnVoW3V+66HnVLjSyqX
GtcGXD/Uv39HJztwQwgt+TkWiW7UTjPDxtVnDQakK7j0LDMC8eK1PFP6uqqCDikr5zME5QcmXDbK
06ZSA8ImThabK3pWSNa2yCRgWeQSdjyecTJju7QUdcUPr4SdBK86CYr6psFbPQzx+gNvgEGfXyAP
sBmbOGbXpK6qeGfejNjzDxBQThIedKoBAJxaYs6X7109j6wh8lkM7LY+8d5JPkcVmB08KULcaKaT
BIlJ4CbpinQGwGVn9vi7BUN58xBFDBz8ovPw80jhSxuCJ9oKI1Fgj6oR4q/71k3M/lVeJ/gTsoOd
N57G/Sj4Le3SCj6FofAQJufN65BorJDK5pYWnp5/SMPX3IuIoWIFANBDPsEl6kp2ircG8KYxiX7h
AtV5ZPI27KHL/LIXEfs/H7BuQUGd7gO3hZaVWeNuxArmx0B5xXLSTTd7riIFFMeFnuHiHFKbFq7e
mtR6vJVRw393TlTxAYeFJjaQOq5kGQA4+M4X0FImeGQIyTwWnafMJ423L79U2YKR5wYhLRxqkPl3
vPE2RFKSVcjaUPbL8TjbQAYuRubg/MJO0bLBZJBczOxqL88VXlZlvDr+8RxV/qzoRd/GmZ/H447Z
cmgiU1Yh3HEIbBQyyziV3kGXS0oLhb1N3z8dbble+8sys/2jHliK2Mc1OpUNR9/UBpcBLO6SotXW
VWdvEYzx8quWqXcCN6BAyJ1olY+L7RxQKuhHCxMX27hwz6oDP4USd99b01mJlCH3mFg976YTETjV
xwbLTh6mSQpsGT7H6C6K5hJJwXiG7WaDfqn2BGLCzV4zVlu6bSqHNo4ZOQf0RDag8jSq+l4BD5/B
eUmYDb6vk28JugCOWHjmuJhR+IHfjsx/lp6XqNE44aWeEWVh8+SFCSmhnhZk7UosG/iTTfuHPZR4
eVemZ+3arvxd544DyMfV9wiVjBhYpV1d8j4a8BcWzdZL+CR0Vg5F06FFhnULsLls3y50NoJt3Nkm
CuJdG7Nz7VwmekSiRE78JCVMx99plZi4VNqj0bfVhckIM5y/CE9SzMwPznRmER1GVpFvwXF1z4Ya
O+Ut7Qlvn5b9WQTvSxxHFbyH9Aw4xcClhYPTGjLAqI1y1i+SIRlDCB9kxT6CBcgiaD10bMcZsR7a
VmGkFuLDEmWWuGLcgnbQhhDli2PZaVrWUOFUS7O2dk22YqNMuXxnwEk18rMOIeqbxZnazmvjIyga
EQCtFE6ZZ50MxboqGNWRl+66BNz1Xtiwgz4n3czDI5xQEe0NYJk7DovJYpXo3Id82Ej2k07TRxnM
Cv7c1nU+mb+DswciZbtCEuLOg9Yy4b63Ig4tB3sY1pjGY6ywS16qFO+Z0EpzvlwRJX6IWk/m4Nbk
5oTdXR+XSqPzsjpLAN9nqtRnm+nJbey6ccEeUl3enQYN/EOsC8ZBfpc1Z8yZSmtLXCTcqbdtGxxD
v6KzG6y4JTdt9cQMelU3NTq+6nFC+H26WmOrQtXUQgzrTHr+JI3RB71que2EJ/rhME1+NF6qLkvm
dhPUdu2cexXH6h4y1uhsO94RakxMB7q14BQeFUZd6VyOJkld1bRUGxEyj4sZyFmLfohdZxCfg0ov
It0WnYA9toHtszDrkDHPn7BPk1Sf6IyTrIKMVE3rugNEuNrqkLj0Ec9mPo5hE+jyYoKBgc5fHNKC
8knQ1tu0QHWVgy/Q4WmPWk1Eg1+7eM6BG2SuEaS6j3dW64bF1iD9FV6kVXoMsEDv0CWcVggujW0f
OZOTuYdE4pOuNzqs1nybJZ5vXUuEwsXd0HeqaI9sSXO628etPc+3s549fWH1urFuhCVAqumGXU2X
MQjU3Qo7rDGSY0GoJE5RfrrCfxpDGexi7NTLoyTXYLmQkYowqojL1nOzbajWvou+OXURNU8ZKj6Y
lNJLXDoEsn0Pt4EhlG1IC7/3tX2kk6bzo91Q2n4VHCU1CP9LsBJWWR6NgSStzZ6zCOtx1CFB5wwu
w2RfL2uwDzyswlNEv3iY4vpn9m0vVRI4N1Nat+D0pjY3B6pEO0z6d9PiSyl2MpkUVsCtbafkKPCm
IdECWJ34YBStZvZ/YykEfo+UN4/mWEF00HzcHZZYnLUc4HwOmQhMhMMWw2SYOUgdJzkUSzWllXkw
OUVnmLZYpKT4M2ESc4HIdMEpoxvkToAAIhCik8PAIIUQEPSlqRzQZsQClGb/WCNCPnR1HnyBmwIs
7gisECoJR6ml6TXIofMJk37fk9njL8sqHSF2ShY82eRuFpqQE6aNZ0WUm0OD+VMycYbXvW+Di2iC
1TuOhVuREjUuFb91UgOq4EHJSyL6Tb5fKxMQ6wrHtcMEiY3UBAamZoFkE5qTM+rQF823Ks1Crg1t
M2zXz6Pwob5v2wT9x8aQ5BK+pd5vFfffg+4gooBDrPgRFHBi7qhJsJtWj0AFTb4aJ5Dw7l09qODb
NHVNewjcImzO07YYORa1lCaXamRoUhZ8p80a6bYJtPNjsPqljHdT5YyMUDgP6RtsmCjNrG1sK5/l
J4YvJkV6afcEfW1OqZ8nGCIZrCMyJ6ZjEWBTwd07XmKxkDIVBa6HS15TdFSDxcIaLUlzB0NvZWyf
f6/E2vEJbQbprWSkYZPxG1vUoWuxKx3gvSAsLSbw+Ta3yQNu/HpO/C/wO+k9vb5GDkzHuaf8G/Qt
zMaZJ/YKjD/V8dDDQkYsHLLxlF2vU2En8cNYhn5RHqNSmdag00hHx9s1BAuL4sYqTfNJKRhV2Ym0
G5NU2AhskYJP7mJqYlB1bJaafp0zb/PJViHyn5ifkTi7WLURAVuplH9sy7Qfo+tVZ26bnwfA/7if
ZWXIitw5/oY86gjLcryteujeyYbxtGl4NUXHD4CYM4mag/jnl7xjZtpg7Djk6Nh3bliRZ6evp2s2
jimH5gCkjw/Kg9E83gaeMvmmBu66bJOqMOYjNitQ/EhW0CkLoIbF/DRZiVqvpyoKOS6djPtykW4M
TWqIanNqknkkybiZ18+j1D7vpRomMNxHqifw1dgxemP6dYymFIIUdNky5KsG5cA2zRdyguIglDB7
t2rcuLmoJycd9S6tmHwOp/yC2iOpRfGEdztYY821mlXxCLaEwUMPxjGpNaI3lHwpJlDqcVRD7tUo
Og1SE1yWSXjnYnI0jtGJ77LPats1RWAhfSo225nNC2FeSnpJ4cl71ou/Lmfe5FI/4XexzOPR7Hpd
+ThmzsyiJK+ZT5/aI7lG30aKp82B05IY/KyIIZfEJAZzmtpUX03a4R16SKlZ1H6xLGv+js5it4Ko
H217C1UjoxwZM5X21nEUSG+4DdbKG6ytNaGoeo2ouCm6UewyWZiaHVPkwxs3iXyKWdZ4m/RJylvT
jHRI1+cI+2PkNEcfMfEw9luE20lCiAEAKSkZT7pQNqCTqB/YToHP5WntIVLIr5XE5OBYhv6MgnsT
zmz9Y4S9EJFfyog86vXTa0ZMjXA+tuoYheKla9Ho22mQMWZjNJNpi1mJx7h2gwVFNOGkLea56ViQ
1VTcfmxpFnJyQvOJUy2n8iIIcJi8XJepSJEIaebhU4BJbX8SDTO2wFHvUlNwsFlIYlAE6pHQGVRl
y6+JhUaj7qjoGpOJwsonim+n16oRjYaSr7RDQpUgRcI/BBgHgkGr9mBQTRX4WlhUyWpuul3nibkn
X9kC31zj71ucijEC+oBOQ26z+0FnNbzS3BnMrQ8NaKYaQMSQaL0HnCbKi9DA3fhBhMHWa5QBTMDS
vEYwa7hvoCa5CSz0CJkMZF5TPnrtbCp0VHlN5Ijn3iS6tYPFZfmH3trf9IwiWp0xVAGEKyBtve2t
RXOLuBciyd/mRJs6E6WmKvN32Et3uB/2yJzySj9uVL3vHNKmiihPhWnnuRGJ09tLLrJpIlvj1uAH
k5nevG6NCo4SR9c/vZQxp4FuZwZGhhX69lJulsoVP/n2Wy4SE5/aAMsukkKCNbHr42u9dAPftt9w
iIHJBC8ZIZ3fplK97YB6wA/k2+zVCDGcDVntshN9LTI+w0zV6Dgj2dkSNAbEQvH6QBmyi6qtITCj
3DmWZrIRU/Ka2PMamX/OPgxn3qRISCRyJmAuMfGnj2//t7cCcQj/lxgGEeU4LoZvl2pWSY1lU4ig
S+7M3AcHlCkLOVwpoT6+1G97zqPfHTMKYhLkom7z7q2QRqHkQQL1GGeRNyzHyRIV072zhuYTQTR5
+uOWez9CgVqNdqGLdg9dU/c3/x7V9V6UMit4lCIzMUrPfGzXA7N3DggXpPyCXDj5PsnEwp+fAWfY
6opoV/uvA+n/lYD9fpmZmvq+6c4zJvUd5/2OnBo9j1Ocel/pSVA6LsAmlu8AHEw5/89W2YXVxNNC
beJqNMfeNa9LEsPIQx/0K3KxYXkBusWU5nlBpXY8Zq7JGj++oEEl/7r/EZ0C/QzUGqFHPvH3O0gX
0UowWdRXADmmn6y8xIQ5guLCe01UVyGbCKJ1yeJtWPoZJ+PHN4BbwLs7CNjEMEJ9sNjQQb33kQVs
S+XIsPnaZfaSNntmWWu5p+uRxcXRa9oyqsykxpAsTPz+2RS3fG1aXnWgsfU4gZhmFqdG25r/ofW/
8BW36JFTLaxV1HAk9OXURv0u8jReG5vcKTXROpxwO6O1gXw2jgBZYvPhbzyiE7mIDgeaRw6WIxPg
v5IW3T4imXf1Sc5oOYIcVFomt+pRCyRYWMoNqWLwOzHHORAucpuw98wRDxJSclvha4O+J7Unapal
a5KmItIvGZ/rmGQZFaaCSGL3+AnRHksLRWfSHWd4uGdZU9KW/Xj533/WxD0XSiCgeUiuv2/tgcoC
vdh1eWizDqDYcSrRVm538apNBvCzZf3xJU2keLPlCLXxy4wmAgvwG4ePmdOi4aVPD3EamB7jkMcB
3C2kAUrr0u5t7gBxTbBp8jA7iUkKrao2d/Pxbbx/cuNrYRM5jXEX39x7XmkTdM3Eu8weSvw069O8
Vrq+c8vJVedury8/vtj7TQ4fALsuOkWBB81avKd6Bo6d5pns+69jJ4v13i9Csy2KQprM6uNLue8+
aX57FBq1NggPhllqv8sO0mm2q6oZ3bum13a0S2hf6vSQ0kal0s2LidMBVgDKqx7NqUWzL2ffi+8p
1nwFzJS2Li0YSh4zv5cofZGHosloEvU8pUJBy4OvImuLzLS1Zsu0ASKNFTimFlFg2sTY7/DTCAV5
PJxV+pxFiCWaSRHgOhOvKQhKNCtBfeVLdWhaOxUXHy/Cu/VmDZC29Wy+UxF6vw+CfcREISUM8x2E
RHMyJy2jCuR9ppbK+eNLee/2s3mnBK8AwEXAsQh38u0hPLWSnqojkttItC/XQh0yuCxHbBk5mgj1
hKDX2XsFSIdVaObGdEl//kmNg+kQWJPN4voCdU0z0EARiMlb3Sd0FKwSctx6Djkjw+I1lzVo9sUD
O+jtkXChPM6xDKEs+Tn4Y1pkhkhWVbh8O2tkr/zd2Nbmha9+wVWsl0l8+NqaGCFU0Zix/My8SSQx
U/7lcCTwtzutMA2hMnodofFFsncLZh6ce0lClwP2oYPkVPuH8zZ6+/rCEJGY0LVdAEs+Z+FvNOyO
JxgjWybfq9ELvxSq8d2Dy3j0OCgjKejxZ/qQijk+W6K8SoD6J81xjXTXPcKiUBCbCMPcuE+9TYwH
FXBaZHjuEurX/rqa+zHbZtHoHudx8alm1PZ9lAKcbKBQo9syywmuRugNZ5md9xecSBlU1joby52F
F+ZfK3Pk8TRBe9jfSHy1xI6uYXlvrZamOKgAVG9xBL8WnErlQUCfvggXNe60XKCzxNwhdgniFONa
pgSF1LTzWnisxVY71VdwAP7ZgtJVvhnQmIPVL1V463I+P8qsdUDvqyCjhZH2/ZFbNM0t7MDhPvc8
DCQiG6OTnUXf7qEc4h62hVSfA9H3pEXJgCD7UBwYEyxy2zAvmrfYT+XWZhD1eFo17V5PMYpVUVYU
fw1RAJsoSoZypyfV3q4FXmOknxaQQssSWzuwPwm92N/cRfdfUc0Sd9ngo582B/VZGfb5XuRL/o90
U9gQpF8GnUamwjzotzR98PsYuxZVP+GiQD0Hkhl2KXTpPyp9vOAS/ns6vVxJuDC5/Dh2OKfe11Zo
zZTuCFzlCfEXtpLnEkUR+EO8FbO/KrxpEKO5yfvEwtCv8mPwuaPMK0Su/GA3Vxo0FBi24EoFKj5t
rC684xiCTEG7Td/XNWe6q5saVLZ2xCekY5sfNZLG5w1dy0+ja6RpjUvFxmkdW27TMr3y6pjXa4V1
QFOjZETlTNjf2Cpenoo2hSfTDergpL79aM/a2yJg4P2jFOFlRV5WnzRNYKH+ngjf0noL8YtsnvhW
5uvYRbBzH1SthlAENf7u42j6Npi+XiwEpGhSLPLn99lggtgu/ZC4eQrssAafNdsQcOltb+q6vBiF
B/53xiv4E+NZTMo+vvY7EB4XN2kAaRAbwOOMfp8SIIHdzwIXxScxmF2W5V525KFHcjyv82PjxNWD
Z8XzbkDeAMqQsoJjTN2wufz4NnxzQL/ZgqEBaxo8CAIEHOPvDhQ0PGvGB1n4hJJHVdJOU+VmjjBu
RXmpWvVuFDXiebXGcSa3JGQ6OvrYOMzxxSiDUUOsTa0rNIXFsbcuNM6Q0/4Kprfxt6q0LvKlAdzu
LUeNV3u39ECrq9Zid24CBmPLdtUzY5ei7dGJk3F4Q9o4tgf0HH8sAJ4vvVDm0LJoeeZpK69qLK/1
rk0M1bjKhjsblvQnq0G0ZBPMznTwXI3quIfj0e1UxRmC7Z3NA8B9hiCjU0YAYdFhthxyJn7GiyM6
x2FG/OXQ1U6AR5coG3+8uGbt3q8tSiKkvQHVbPhe0mWgJcx7D5OnLhf+pdV5xb3MvQVrvq6xL53J
WAR+fEXnLfCVXRUaMCYlDra7QPDeixYhf1+pmqPzuZCFOKVtBlcuGRbrjEZlcWAQoYn0fqqeJHZF
93k6wy/KY/uTNcbe4Q/38jdbi0wUTC+QLDf8rXPkuczaynkqn6OACnSDRWzxDRzBwlyqaZ7J2sOn
tYdPEzTWtwX+M5yBYJR/UvH4uyWJDMiVDxzpNKrPtykTWJy+7teweoYasAy7F982hCay6jyvAjx6
1jG+7VQzHBYkAjBxSeYHVIMQSIWA59z+YU3+ZktEwnQv2ZwA495jQtd6mOBDlsVzGtrB5y5w+hu3
sixDFMrPOGKGS3R29KkUTX1SzZ5zoZuQMyGsNKT6MIuAvKJPcJ5bg/cDbHbnbzD4KT9/fJfB72+O
IoHg60a8t8B5D+NUU+338JKa53RmNETHpU2+tmrFnaOrF3/T2W5JbwqGGIxTny7vrsgCn/VK8x0d
rjhGT9eC9q7aIPySa/gjNO0ZfjRWn12UQd4fd543XwYDvCKIDKnYoMLqThtER9yM3rSNkZFCGW6L
LaQvjyw29KEotXWBahTcAppQ1vnLa4QjQCJS+PgkpRN517ZFT+S8ZkBPLeDVeI5WXWWskCacl0bG
1ff+SFOBLLL/rN25OcnqylOG7hraxBAGfduAfu21F+cNw3IgnjOzaCaCGgHXFPH+UF5MMu77TZtL
vO9YvxbGXQTN5cgOUvcvrdr8C/a4+ofIXbQ5+7FAK+Djt+P8dmyFAQhOn08czDRF5bsNjSjdUsed
GJ7penfpHacbflV0EpfN0NvjpYsmATMlnJeiXaT89ke22iEmTzCJpyMPnZR7HxLKuR1O5Z0LYYQJ
CafAQRUQRe01LcKt6Bj3vt71//Esbhf5/P//3+NTnTe7vKdI+a7fCAugtUQQ+N/VCI4fp8c8/5t/
5d9MCx+DdVp0IKRfORPuf7QInMD+Fw1iYhrFPqJlhgbxU4vAxVnFg4oRA/cUwmgO/Idq4UT/ggCA
rhw47ZD++j/zV/ff7kYSByPJFxsQrE2/XrxgTn+B+dLyqNaC6fnnvpcSluha9wsQJe5zu1Y1joIi
VZ8yNEW+49rl3mZZad3g8kFKgJAG87scm+mqnwNm09SfOytwtjq25B6DXPlAD4vfg1mvm6IN2+bX
hQL3jxUYKtQt/leHgfRqLwHOnrsWCWMWNxPsi3I5at2lvMEVZUXmJMSfyrGG52a1EN/NxCSuLOMy
OTdVjoVRr6dHoGPLIyC5Jd+lGcu2zWB15HiHqPUQVnZ36i+W/IZjSfFIE3y5tkoEklzmnQ+LWtU2
luStWw+y2fOoUmfjSrx3U9rpn9Is+ORoK883TLvcOyiga/mHHO4lT/1vnvHyCgLju2MDQo/RPTZJ
wS+voKZhUlioV35elRefgOXw99KdFabJmKyXlBWdIQC6dXxNAHPPG2gwaK8ECKttc2BZGFoSHimL
2pN4HcaLNfGzS3cQ7RPR1PoLHEh/k5n47edFcTH42qEExBLkvqowY0szvNiH3muvokjd6crzj305
nWMb6OJZ7B6FWfxUdEH37ZeP5Pr16X4lsbxIXLx5aDQezAaGjmsLwbDo7UNL2iNpYksyubZOHhzz
9lMg+V8YKMzXFt15MFmeggw/6b2AzehixaPXQ+8V6wW4WfubxEQARXp/mq9SJnCnU+v5n5OF/9cR
Up8ByKB8brnTVTYEoJTSDoGfKLmnFeAexXle3TOyHLcBytvHeTM10FQUIgKjF+wWbAT3qKuzpz1t
j2f26j01wXA+Kdc5hgfkHy+R4lQXCVSheSn3sz+5e1vG2cHPHyoZMz4U7fQ9z1pEZeCmfpfgSk8A
PqljpR3QgRm+hnIcDoB85xs+yvIyHC0+pr7Mj0vvyYajqsixVYCEUbGCnxM4keaYmg27HDUfztsi
PrL/h70zWa4b2bLsr5TVHGFoHIBjUBM0t2NPUaQYE5gkiuj7Hl9fC4z3MkWKSVrmOAchU1gEeS8c
Dof7OXuvvbacEJNB+nZZzrd0WjGVU+BOL4rYaM6RR+gPC/T+XxCLMdSWUwtKCLNpwxGF0Ogy7roD
uKnkjBK0ehFueH1ZauOFmYFTR24zQBlv4jU9LG2cOt4qIv0W8f981fUaA4owjSBNuR5QNfJsKtl6
UxAu9CDiDiQIx9FzQYffU4HjfVIgfbNmUeKR1M+2eiXRUtvhz3g9d4i8C8NotJXbuFfXm96hgqPQ
m7tnP4FQ1x4cj2I+c6et1p+TLlev6zv8vmJa4qe0rjYEtB6eml5tHuxG1H5ONNS+kTWZLiLzGyJ0
vhYNvyUbWzN309Eo9zn3/rza0gzVHrw1OHnQpUWl385qmwmXwo3jLQPJByIOkYch79uh3NG3BbXK
Tq1Z91pAvrseJOoA0SWdx/myzar15mXaYuOldZ9YC/wsUzvX6ip8rnKpfpNK0XHM17qHUlmby6RL
YHMAuWZ3ZsBQ/FGq2b4hNRVA1gxY20UHZu0FhAU7yGQsr6SK9vqTLswbs9c2/MbW18U6Y9HrosH7
evinRgNnDIPjVm9rS/F7DbHi0jbKl3R1uAIt1ZHiNp1yly4J+z1zrp36Av1PPO8lhbIFFd7MyOh5
E55kNtbfs9Eim9RppjrC3NSGj61YuBgOQ9qxARf/ycnmvQsAHMzXslBi2fTRXl9AuWZdiynevs2t
tQ/YN86XDXb3XYMonCySknUmpOB5zRmAJaaMTSWwaAt9V0PVPNMmK3zm2TNYmBd4brOtnVsIt05o
8oZw1+QyvAOWQbUpLiNiSj9eN994QF4GH8wgVhDOpY4u3n73qWiTdhWTeQvVwQQ9AIfnmdkcygNS
CZgiZCVfpHM3X+WgU/Z9scV26GDxj7JOxlNVSMCLjt4ec3Nqj5XdKHfoqZy9M4ke6VkzlFer7GhB
E+VwPRGBBcAfL/8zOhXiLp1E/OjCaTiq6yqJZm3W+XoQU1bu7dFuvRoOnDvrLcvQMIQPuMDTgyIV
eaLPpSMRta1d3hkRfK94fgTevO7baQwJViZUaS1t/Py9rs+/KFqyXumFUEavq3UtWI0aZ02VIX5s
Dx0CClgtWV0fc/hsj6XNo86egKSE7dEj9Sp6akMlHgO0JXw9IieBU7f6LWYezo8F4TKeQ1zIk1p3
6y5V4/CRmTf+EkRSs4JsQ4NZ/jSQkXIhVNLWXFGw8tUJfJSFih8aJH2NXIFt/BuwgZ9GVVRHkBbz
kX4QAYqtPnogSfRzXCeAgux8vuRgwrvk44nAJpFZ+p9vUGYCpjn2DBu6+WU7+GbbwFqNLorWwS09
0d72Fji5QGa2tRkTarNfsIV7dhxyAfGKxYWtWP3d0vv1ZoWVlAVR0R1jio6QKtL81CR5N7lLoSaZ
NyppUpBZVe7APWyPq2arPxaKD18379cPfRLjryGxheJjaSxsv4sl8bZUZfKLETNHwGlsYR6IjWiU
G3mY78j6rlTX4fh8kJEy+8tak9Utiq/zVJEFYcckGBK8glyxsZQbKn0L5PABEBDybZbIDNt8C83l
MGtrtxc8tQc7T7Yt53ZfCcTsH8hlOYCxHhefcJg1cIzlQavr0jcqSetKXWK0YSSy7J2IhC471Yna
RMRi/6QGU/gt+uRTpaXqgaSURXEt9Ib7tUE8fKEDSXE8Il3ie94DyX2npHnurvS6JIdIWBOdxLrv
kk5gRYeYfcvsFQargduh73pSHFsDAjJtG5x2rk6qnHlVYSryW/K/Irw2Qx/05NaoXG7GkpdjMQD5
MrX8Pezx17hLDGfAk+hihZ9DIrmLUC0fQ1Xw1lm11PgRY/VavEiz6uwMotG2/XGWm6hHMx+sUaP+
KCDpR17fFNJfWNlVTwGtdx6ZU3YiJSaTHMir6gxBUFx5JgFP37RqBTW1qMN6g/gbdbVmp/Nty97y
QAqoQ4ocDpJnnf4KOq1VCYjczujrkVVL0ka7ToEYRwe7hoWpyCKU151asIvQN9llEs7R+j354opr
EiroJ8aaP9v2dAvVDGiuybY1dCf06Tips+LStoFU6oU9ebwMHEbGWdablwfpf0+2n5xsNx0qS8Z/
fbK9ZJsb/x/ve1vB2/v++wn3Xz/6rxOubf7FToYOMlZaW9dfzsv/zg4Vf21OdYHynnMulTN2+Zwc
+/j//V+QesDmiUPgJMseTrc4Zf8rlcww/uJ/JbNM3xh5ZJoZ/x3aHqbO1wslkife9niLOeRimuQg
/vp1b9M/LnCzpoeZyL/apbUWw+HsIiCY+tg6WHjGWq1oi9mxdQx1/EfHUi8djD7UN0tPnyzE+MY6
F1kAXCBqDkpeofRwaxKeVFeNjY7qginPl5BgBxg42mVlcn7sxaDpvDLShjOBZRzx91Fwm1JEsG6W
z5NbkOF9TqRW9Vh2sn6s1RWlKK4b2glTqclzXAfie9mO2mXhFArR3SXoVXeodFnvdWzSbdBlyvYj
L4TULE2Wa46Kzv2AeINkrnqLRcCMM99Gs+nck4DOQwzv7RhmGwzXqGcbbilQrOpUERokT7j8u6eO
cvAduCtWp5cYNI1NDFp/welgoaI5eLQMuYzaERxQdT0C7KwZ2p2KZPS7vVFUKzoEB2OMja/rJOfr
kvj2Q2eo+AasotPQQqO9cWsM1vf/xCqRLVV3CFtTOpU1FJSntE0YgX+igrqcNKawobk2Gy3/m5hh
3BeVaX5fIn7OHSK+gKlNfFv0yvO1ahAdRhgx2LvBsGjHWs7MVYsNSC0zA1ZwqnLtTm6SbzRMqnFp
AckiL8kmlzJT0nMJ8dVtcaVepGEyHnEKZUfi1PiZf2ImsOkTD1KQlWT5zGtG+J8bmmN7aP0oAcGs
D9sdRiWEs1Vdu+6bBZV+Pp/qkJrDDP228NUuz5IbpdC5hGpJ+S01ukz4Ol0O1BboK0M+EQ0zwhbb
2LMTQVWmZysEpu0beLrjoc6KWH3ggAhAFTyGUlEkXZ9jOrGswZgn75ecNXXtzN1Sxpbw8jAJ71e9
S2/sUYAfwnuFEF8r9LuShNBHetHbrC2Y6Nks2MYuVESirejIn//aRGyTqFcNqjQvIWx2PzIbEOhy
Zx2jt43gJXkNTSgYYIJ5KOcidGfyKTpOvnDccjLtqe6faOgDLsZkRs4TkuzJt52ZG1zVlLxcAJKc
UrO0LslrTzHRepmTcxAdmaKWq/FYnle1g4zdTjlSK+kIM3kBQDxzFh2gRxdZON8aakRLqJwKZkyo
DXCKZ8FHUj/i3o3bPFk4+D4O2y1CDWEcC3OoH6XW8cv6RmUbQtcxsAXZCQuvsqAWWv3Y1ml4/zKF
E4XQsSXrqrNqe9jTbZKGFqF5kzEwJC9E8xcmfLHq0L9j2Lj4D4Vzj7ZteyRx3BlenUsmzGCT+5WX
2zHj5ZHAsoh2LUH05C3xwM1WWTgSuG6PLwz1xsTX5VsUNO4EDKV7OGCj4tZdCt6WWnLh5WTz5TjN
IJyvukz2SH2n0SUIjcvBtYj/ccuva9Qt0JDCDBNMMXBksI1kfMKWsMARAsJ+gfusu4LTExlHlQNR
L3fO18ba4gVeAl0qanabEpx4BuTZbMmv0xe2ttJ2C+spiXO+Chb+YJmtCu6d+p5JOqRvTFRZ3Bkt
XOIacxtNu5U9OZpYHgqw4G3BF1oNVqxCr6b4dunm+iJKkd4lS5PsjYVnGZeogOKVEXtW4ILY0IOF
OGYZCRtpX+l3GKG1ux4bISNYiPm2ZqJzAoqz5jFTw+bgaB1Sc7wXd7bBnKf+QyIaYoZ2/dIBkheH
eWCJZFfinM9ZxoxSHJ0bBahUuws59tRQKdDJB0ZZEKqH+T3ZE/ua7KlkgkEeJ0j3oCEIH0iIOgk0
sikMj8RjJjh4dG5r2xGHqBLJQ6ZaqWl3ZDoRMIdhgbZiW9D4KNSK+aJ1PUlBWyARagueiMJqtMtk
i50rkInjpCXYOAxGZ5s5tobxA5Bly6/Xo7B7ijL240lsMrsRtN2hKnDu28TU0jNRD3hf2M83u5c5
j+CPH1J7rtnTm23+D3QvLodkdO6RuZLPgmaMjxgnrelvRrbj844jPOsbBTBJ4cTY5qOzwIiuG0kU
HxQ8VNgvS1oK/w9goj0xlcxQtsMxlV2juM0oppair6IhfeHpynMotd4wMbwIyHYvT1wxSnG/aWk1
b27MNt69rKwkJ4EFh3bY3GuJUZb3U0Qo2YP5EqaYi+2oo41kWYi4N787dLKCFL/XjRYPmzwSUUI8
gyaskVfSdqM/42IuZAWmAk50yGqykOXsHzb2oaw1F1tuqcVX6ItwOsNfKSZM7ANbCDeqykqjSbY6
ZwWSj9hFzDmTidglTn6zpvmvVE1yW3rEKgISKzIsYT1IiJMoVZ6aDG/DJTj7ovVjlpgKpZlupp7R
tNZTVRb3VaS1J9qYg8qBTJLl5mHcuUNnfayg24VuB4T0juDM+ox3jLzWkFqEPLujsWsbssYbTesv
TZVwx26g6QWgMP6aIMrIoXWGfze9TihB1Zx39Bi8lnOjaqc8A7QDtUKZDn2/HDF812dUGNsi3BI5
K89xesrIw65GvbZTcMdcYyeCjWaDAxGm+rBYea1swYSFFR41rSpYVVOecGFZ/mqoA3xPtQYtb+lr
ibC1NyPXakTq1ZUOtVHj8OwmopYcmzNjl5X66LikAuzwO08nM8Vy4Sn2tIzUMep4oc8LI+bgMC0x
bHYDbX+dIvVZb4j1Ss6b1TNFrUW2YnNIZoWcdtxFX4U2VheKapVXyZrJk62HzF6NcEqLwyuu/rSm
3lTP5LRk9nDWzqN6YRuRihJYMefvOXiMr4tdfIVs3uTnOejUGzKlSxCy3SQ9sbbOTsKQeiYB3oHO
0eOXo8riYg3Wg8aEObcZY3cLvMODOjYjQNu+CApZQ1Om+J+5A+z9C0mddblgvKwnGOvlbh2mkPd4
ohLYOn11nBQneGK3ezuc/h7DmdTP1P5BXXu5jU0c8VoO98rIbGI4UWfedCrDajmlRSummH+mg36n
UNhwNUpGFzKJKddC6AASORQ7EgrFPnRG+7ymxBNETXfXABtIIQCzMwq6oqkuINOzRBH34JlTXAfU
3CmSFK120rH9H0yn6nB7D+K8MlaOmCbIZlxs5pfZqjj0NY0MFIfQxJQVC8VSkV2LJvXJIzspkJyu
eAksbPnGckc4gXXMMY/fRFCTjdIoDzrQ2r3c3hBgXEHtRs5wMDNuWEdb+rELZyLG69a5oI91MySF
jh20VG+zNpXn1ZL3X2HLKOdLUcOeVaTNz03sXX/0IyITP9T19dRTO9+nRKp8ozoMDx7nJomKKSrB
O72lsmZjEb9ULQgDvHltP5NiN9jmsiOjszhOWIe/K1nxbVYa8NKanW+hsG23U2ymjUvqAHWjtR/2
agg52ZRZ47H4R/6K13gfRnF/HEvzqQaxH+i9RmZkrWIFhSZzXBB0fwfLWzd+WHXzN8IzCY9TWnaC
iVr6S6ZmQQ/4825zqV+y8rdQPmihu0qi2we1m419AdjV7/QF/yk+zuk8HhSKtXjNiGFkIZEtY9eb
6i0purkWYH9ugbXalPXS2yTUEA1hoBL5AUvWGD2x+Ec7oIYNQlGt9kNlLNGdxSFNuYqMyX1vxQoL
U5tYByzF072SdbrktQcMwU3IwvDbuucEEjeBbbXVRdLxXCRGP93Ty8qPq7XErtMu2W5d+zUYYpV/
Te1kZ+m5+hWLm2SKk1chlFNibhs/FlKSHX9ifYrOo6a4jMe+e8A1N5wB/72wspKsTXYDX8Ckqt+c
qbNaF89V2J9gqi/JQ2fVg3qkcuH0J6XRVp3alLERfBxjaKYg1RR2ThEHt/Aq7IlgpmFTcQyBRSAf
wyZnUQ/TFEcwy/eiOiE0UIAhlJbSajU9PReK6kadok4RrnJ1MB4lVZ5mR6boYnkyATSws6fQLM4a
FcvnDqMsURuqWRCuMLY68bDmwB40fklKw7bHRsTaJG1e0tT5clK1db5d9Em7Yy+KlWGrVseOwv7s
txP/O226191hGsMajWk0UBygkZII/U2XbojDPKn7JD2ElUOsBOoxclNXsQ7dN7oMZEeJAjIByScm
cXjUbXj5fvwFNP3PwztFqe2L2JsM6K0Ia4qB3a16Hx3M2ZGRG5abSmVwtFC/1NCjRGw2w3qfGEkc
nfV1uJZBbXUhrJpeu8P3q13il2VX+fG3emdYsJyh4WDbTuqPvX3p3zq2pTGEVZyK6EBXhk36zNs/
mCm4OezIyMnsEY8U/lCQsOIrY1Q/fvzpb4xoL3eFj0cRRYIIqoG3utNysbOhHFfGZCHg7pBqzVLz
xmlkga+2iBdT2WBE0rjL7FA5atv2+58Y9VE0oE+FtYwZiAyiL+IDwjoAQw2QieeXbOIJqd9n9ol3
biKOHQ1Xg6Or9HzfjtfowLUw4F4cynCkpom7FspWbGUgPFqK24TZ1EUZWNggvxciW26bnlpFs8WA
J9UMoqJsvE+GcKv5/FY8Zz6R2AVPj7QwvBa8hl/fQQVT/Tqwbzi0AGUT11JIt+kpSd1D2mMfKAka
oqSgExwnNBJ26pHzRTmR/rLXWl7JHmqJ7QzGyH78xYz3vpiFJQFFAPoQ862ry4Z4A3u8iQ+Y0Nmh
RhVnrwHx3dTaM7sioyu/1HEuxXHBnkA9wai67DQKfbwdxOiglMB9dq+qC6dl8bIv1mgJ71+SRiOB
nm+XRB177pDEbbfdaj2lo/JkK0VItSSzWwJWtv730z+H0qSgQT2sWxWgXGqivcKESLUxpe+z7eO+
A+hibq2dzDLXJBx4/eQ+vTGobFMdswQCTBQylBARI76+TzRSmwSYhLI3YpM1UK9WcnMksmfmzMy3
Z+F3zhddjsqXUl8pnsxFzNdakmH9MjsWoxUZGqcTc8W7kuaCvzJY/DljLYqCl/KQodfbzW5TqjTD
NBBTVW3Adw9iFmn3ESibwz9R2AhWKd5Y2TIyQzgQPL3c+/+tRH9SicZTtWli/utK9A54fvL0qgT9
r5/5d+CL+he/gqeFnjTQgZdUl3+XoO2/LLDXm0R/84gQJvmfJWjtLwrTDloAvoCKjl/8RwlaF3+Z
VLmJ3Ns01brlmP+dEvQfrwsLD61BBRRvFE6jt4vN5rJaZV0NB12HH0v8glMUntBj51wMBEy4ttmW
56AVkKg5mFk+0Re9KX/zkuIFTqUd9tlWAn/7Dm8aqjHjOvf7adDHwF4KK9ASPfcXOykOv92Wd7YL
734Uxl8WeVQrOOVeP62tgeOeiM5+DzmM4pOugdSnERZg327+B1fFUDpYjTVu+ltm5KrNWb0I0e/z
eU72hHo0fkv3y+tne/jEYoTW7vd3xcsA8q6HRIz326Br8fqq5rEfMvBlPbKhECn6ot+U7WA9g0zw
qTOmnl0ZVDXCMPNqldPyx0PKHHznw3lLbbOYXsimSP5tq0FzEPZX3fd7BeoB2/EZQIMmmk9eO3/e
ONB4CFKRAFooz9/aCDqwdt3YhMO+dQTCWKIykACZc2OPQcqr+bPozNe2Q5MRNfVN+YUIQ2eavPh8
f7sos6FsG2uciaLFgiaWtb9sQ3+WmDVcLS/O4Lh9tpH9cxg3W7ijIzSjk47v6PUwAvNN2RBVA8U6
0wTrxqa5Vp0q+PhmbTfjt13Fy3WxV4YZDHURbcY2zL9dF4VzrcyItdwbUOeILFDOI6W7Qhate7NK
TtjHn/beKP7+aW+mBm23qOHINuwl5Tlsi4kbjUVPJkBGV4GaDfLH7MfHH/k2+vHlCqVNp2/bfzIh
3+ybljiz5IRWZK/RVbgSlcjvI0hp5BOu8jBUEal6za09LtJreNk+WbhKT6g9D0PUVvsRRlowzEjF
28muf84zlKSF4qSrYxBE/bhgR4kjEiua9ZOF6Q3p9WXGbY58rAybOfiPGSe7yALLyGOUTIMg2BE8
nO3OszkGimKobtJpHPDgX/oGoxfo+Sz+Vlcb+Ygm60ub+BIAf5FzBYMi+uQBN9+ZmoArIBjwhJv8
s/333yZN6uRWRjGg32/wFZ3kHZ+sgBmWmtVjbY+6r3NiACibUOr67PnK01ymLQ7PAp9hARPFHdXS
zURHNsVSqqg16tAPIXC4MFGWs2jQWzTlq3Jc8bT7BD32PhQIiG59S6twSpT7fpQhkMmE4rRQ7B3y
Cwq+RiuDoZpPfdZC/FLywSOFjJiO3DyLRfZ1mGR3SSwVrk4s+LvWGBJ/UvorSpTroUlssoFEbrgw
2cNzNV7UB6Vtxj2dEMULSaXMFuO2l31GXkeUHSgc9Ff85nL38Wz98wFBG7N1l1/o2n8c0+YuMgdz
2m56F18q6Cu8RKpHLZnvhjWsg4Ga53/7keQTMd5yuNh64W/9IQ6FQ0mZq9+3IZXQTgS5Fv10SnHe
GsQVZo717eMr/HPd3rxccE9xEtD10t8sa/B5RxgGQ78HkoZRkMr6kRODARihXfyPP+rPaUqrnhIt
inAIDPQMXk/TaDDx+IwVb0E5mmekA2nHahrsTwbw3U8hAIBtCkwLxvD1pxRgbIt+YgAVq1UJFbYd
5UBgkLz++GI0lA5vVmquRmrAY0Ap2ryOXn9Oligrihmn2890lP1K69KdNRcR9iLAfAKUJVsKJj4a
5ujUyodWj/aVQJ37ydd4c9pjOZUmW5jNrGrSlX97km+aSqzJaCNqmnM7mBon34VT2u/E1CPBoaIt
jlo5O0GrVr/yarJvsz6d9hSUxotiXY2TmSGX+fg76e9+J5sUY7wBDnvWN6+VSMCqCmOj25fRUB6x
7wWOOkzuWvbNZdjVuHdtuqU5Eh4vb5TlaqjRH+G70X1HlhVi5PxXrs3jZSZnf12nv4dU0b0m6esv
SznQ5+wJ8sWyOJ3KJb9U1P6zzcX7F0BjiygKrJkvtorfF9RQA31H44RBJZEmam307ZOIvsasYnSp
7NQPO1RQhW31vLHa4oQF/rtM7LuutZzjUBPcRWLPGMRq5dxUQPgw66+/VjMsT4aMnR0q1cWfspR2
Ztrnu5aK3CevhDfm0u1txbT47QrezM6pz/nCRNnv6RhEp3B1ylNPRd1PFci4mxDRGCzCaVIVgcKy
iSTFZ7a7t3WIf30FesAQdXTYOm8edwkJDrLj0O1TJSZibsil+YNt1bUtOsLOHPWpysf5wda1+CeI
rn4YAXhWOvE2W3LdGHU7Xe1gCFM9o/2sTYQb6QOEQT5wP5tkc8HP1n4tdEBZKu0vtpEFJnBD31Kc
h1pCqNZGUz1XTChga1V9pyzyxVr4oAh5gVdPTmd+MuZ/bt2ktcmUBDsEC8nKmyGHgG8ToMyC0KT5
QxkiaE1zX1kpQlPPNT7ZJ76zbOMepLrBvv5FSf169UH9YZUti86+jspnJ5F0NrQxRd2yfpZMvp1N
Xu9IuSxMQsAtxGbTfPMwN2E0EOhsMpPa6C4j4OEB6CvNfwD1mAGWDDGjaqHQBe/5mZn1nbevpWLB
B07Ei+kPh0dPLIoepmoHyXJ5DHt5PdvNrSrC59zuf3DktfyPF663VcZtylIx07HQwPMglvzNLXRG
pZsTyN17juHl7WCw71mwaCCAIdllXH+pYXFHajQZqkvN5gbQszd2yBFVdisff5V3J5OJswtW7BaH
8+a1nJAsbcYjz+8kSfRSa5LAECdjzU+qCHTpZ7Ed77w0LYQgmxeMszeH/NfTySKmISLpj5u8tPM+
qkkFXQcZf3JGfHd8wZ8JZhLDi5zv9cfQz48qTdTdnjNy60mw+P6IRgd/qVSOE/QiLxrFAFiiyYMp
RI1CNSAP5lE5W1frszXyz0O5pNfGbpkq7jsoqGkZzDXuSJ03xl4NEPNHu65dL5YRkl8Eic2ruwJT
j93rbpURX/jxDX6THvKyQrMuAhYw2bfj3nsz13osKLpRqu1+0UT8o4bfalJBjPqrLtHMwp2syoIp
NfALXGXZVD+j1eSmr6Y1abNFAwLRmwD2X6CTI9xOB3WteWZkdk8ff893FhpJKRl3GV3IzfDw+pbF
CgmkZNU2e3RrLW67dQxEB/Z6SxT+ZEje+Shs6wIbG+EkJCVvK9Fvx5gEk0rdtHazp1FcPAuY9TfU
aqn2K5b6P7isjQImgFHxLP+xqhHZvvbkPjZ7U0/aG4cqOi1sOzxDAkMV8T8Kjdf/rJS/+9TeWcT4
JMoibBEx57+tVKC9jtJq4JMSRGV+iJ3qSxFhZuDtRgdlLgRpcbSuP/7Qd4eS8zVlb4sGnPPmrsEP
LXs4+Wj4dW2EhoxWNKEb7bcqcIuPP2oT0/7xhmCnoTogNOiw/dGbkZmohghE6N4SWyOSqJCe0Dpc
lisU7bDEPt52ug9PpCd7wBgnZcfJcZiDdbaN4qaQJg8XEZ2rcwxR8d/r9Yjcry0zCVI5zy30bhgR
vle4xC4y1MDdDoYbPYSu1MAnlFwS+n+rkhKcq0nK+mSoBgEq9HH3tJLtNagEsgj4DrF2Zw06LY9c
zCB+Uq0grdlw6linuYvSiIw9iiWRW3OCic/mGDqd3yZZG3/tkOsuxxwoh7mPE60QgaLW2qlY51nZ
o7sfu0uzKAd5IfphCW+IU8zLHf+uTLtiartshn1DXqZfZqOILqRNQKU/mMA+IE03+ZdRcazw1JZK
ddBaIEvuErU6Ta44uS86+k/ujKg9PeKojGpPDlWV7eDa0nwo6qVsz9OR42QCIrme8n2HbCTz59Fc
Zr8al1A9I6kvVKk7FDUqmoLsSHdMpNS/211IvQSI3OytwKTaL7WJLnFPMFi6XE+hPX4pE4GPcVEa
yBwqxp8oGJYxGo5sYuddI2cn2QkUxbUrtiRlOlp4CsuWVxTdoa38pyq6QwRJZ8qv9Owhf+UFioxO
xKMGjqg2D4Ucbqjz7obRrB/CWs+/IQhUb/vSmtwQKelBWdI8MBrnaoAaUTbdbo7t8jYkqWsUdG6z
lc6ULrLJz5ys2EXDeDJg7Ht63X1PM0u4tMBDwjVmA3yP8SQMZQrGcun4Dq29t7pJDYhNxe/mrMDU
JwEkDXfCWSfq+Qfy08kXw5LC1By/I100DyPeXXecF9fE/KmqoM4Vq7k2nQKZnlom12Qprt6gJtqZ
RNp3YUzcD04LCTKT8H4mwHZPSNBNApvNxSsZHkPMgmQnZwObis726MmZftfZ6w3i7mPTC1iMCGz4
I7vKqC7BOmhP2Tzr/qpmTTCDr3XTOMRFZWfF2WTEWwKMvEYreFso8Rxok4yRQrSrtyj9gFBl0fcw
QtXbMMrrv8l5UM+RLePp6BtoQmrfPltKU3pEE9S+pGC9t6vKPMLIhRpchvPRUBP92C22DChSnHSN
TqBZa7vMXL4VeBIJ2wkPtim+JMPyzZzDMphUh0LdEH4rMHCTg5cV8jgOdrkblSZEvqLcZY4kCJ48
Ct+KKhmoKVmZ+dSsLnxvEnA5N9wmrTJeN1Erb7th5r1odOf9giUkn9fEXZTyV4frD+FFnxzgfBSH
spDjs+j6wV2SCY+Mn41Jvy6ArBuy2Dma62qL8LEiHBS4uKRnqTN5Hgr65LNvN5wjeJmySKTRMD3W
jP1lA6eF8khIlEGmHVUwjYFS9XDQtVWe8ZcqmHkgAijR5tKdy2WKpu4RR5rdEVVNCvqU4RXQ20cQ
dTs1jdAgKDrfeW8jo/sJrDirD0aW6zjLZGuj8qw0W54rxDCTdUdmBQyLZTSVE+VZFTVy1SSHtmWk
XNDUOUKaYrzDJjdf6yDY7sKizJLjlFrIP5ykgTGjyx20/Qk7VUMxLk469Yelhuwnqe/Wgb2q+Rlu
0PYnOv/ICmhpVl46mYlxPs8YysWYhc8Oxf3BYxdQcPgmXgYoppy/0mcqntsaFx6ur077u8QN4HNE
M6+cUq8fyYzHgoUva9+zY7mTi0gfx47fsyj5HFS93pxWWsheAv34qAuje6AKRxsk7QiY7seBmRAb
TvMtjmTzs6lFhq5cab7ZjZ4c0jbs8yM452xHPnr3YFYN4el2NU2+hSKGPJ0VKyPx52jeM4xOPrYH
00vZcB0HFKi+TQk54FTqtLuMc1NB/iiNeZTJ0XhPeAf2XGkmmnSdaMIQWKkCc21Ba/BYEzezzUFl
OkXEZhChERMjbreDvusYTuWeYF4ukT62E58RKMBXtbLxftTnYbqI8BxfJbKBwkYozUXVS3kuYsFv
NdBsCzWxvoy9jgGSnQhZHHUcX6VTV/9N6U4PKJyZVxFdaysoq2JF2gf8gLgoUextMHJXeV6Ptleb
sXnFQ9TwUHF3KcI3p4yIwysYY/WPlmC5G6SG2l2HDODhBZMAs2nZy5hBVVqxnClMzZvabOsf5nbC
JPhrRTCXwePdM7LJASUgv1ZB9q61ojm9gBfWsat/9OQqfwO1pAerbTc/4Xhh4gSyw7A2ZRGeIqoR
+8HpuyeEVOaVWBuF1LDKia7mBHwL+92iWJ7gNQg58waeSDdwkVeHy7nGa7n2JyeNPAXhLrHnJYJ4
Vqgh7FxSNrS7WlvMq8Sswq+1FUeQyYfqbyuyQMoNGBddXVmxZID4657MwdCDqJcNCfFq6EfKMJ61
mCgOIALnr1JJWRejMDkYNT+N/SW6GjAUkgMmTXbgpSrpWBhNfmyhZoUuoq4s9ZNsCk9xAeLBDUcH
M1w0QalK17oa3JXnnDJW2T0sC0VrYkm7J3A3pheGS37U2n6b5UO8YTNS3fySgP67F1U/2B702OaU
m2p2K/u2/m4A2PmC/hHnNwz2+GqxilJzO1G23/LNQyutbrhHfprdotQXV5vo8NxMtfC2ESMflOEm
d2wbewSbjPhKdIyaTOPlWo2UBS8yam9lFriBKdrjyi5ScWzUuDy3jInfWK3ZLVv2+SsEwu5pnUYU
dGtLSTwA8rM82zVlPi9E6oUS2dQ6SAGE+pRQOyq7ZCUnK9hLFCu8hazM7K6HrlmOxTiCl4wHZtKq
kGjvU0BiprFmxVd5lqKOLjCZXitGShF3JD2EUmon4/FoYcgsPafrnyt44Ca9C4CGTTE1z0qVavci
qicfioD2yxpTMk149JobVov1udLReHqWXi6Z16bm8EvHewjmcLSZ+3XNsFi8ybu9OmWkGG8g17sV
NNOt06usZrY1/ppr2dyQi0Lhv9Hry35c6sc5DZsbrZfRVWjhMAAlIKHESOPIOoYGb8Gn9v/ZO7Pd
yI10W7/KeYBNIziTwMG+IHPOVEpKSaUq3RCqifMQHILD05+Psn22XdgNo+/7og00bClTOUT8w1rf
Olbker1KEO7isSWEnDMe2ad9JPuLFw+I1x09cbTD+91yiEHSYm7amwMLYdN7QxnTXyO0+ntVFOrw
4VWQXJsXE0/SgGQmTh9g/q0RIFb30jYqCuA0/ezhpe0agCyoLFVjfrVJdd1ZDfIWjFgE2plTFdqg
KvY6r1fARpNAjL7le9ib5XzDJT09fDjMKgvPilHE+H+0+qn3rTvlciROQqT0Mm27GQc/u0rmP2JI
1AlTQcvD5s69GEvcOW7JuWGicJtEqt2R9dTcw7CLnlB0whqZ0iHm0C0XMvlYNkrdFkc77U9qnguy
WwZ1J+KxvVSxW53ipJoDSn1KwJUUxQj13SfC5YjRE0tHrczvCtSlTIW+53biH2Ynt5WjkyPWW+dp
yqxX6m2EtGKqv/rjumeqe7SomnGUUe2yLUsoSBXI51cPOP8NL/S4c6fm4NSF3PijlhIWhYHYG5d3
5n/ll7wkXoU7h9bK0BDyZQ4dTujOs5WEWZ6jZdYQf6tIE/d5aTW7bhhYfOlDs6FCHR9Adoi9mWXd
0yA1h6POj29Dx4MMduQ+DMIHpUcfg/oXK4gPtPiT0/XFIU3dTxMOtD3jUlLMBaVcUKZzjZV4TO5S
suvCWjeOkbnoXxMRjTuCzMnyMfRlQ8CUuRkVX8auSXqklowK43l2zhQX1mtm2fvKnuodXycO4Dqj
O40dia+/8P2fioCf1wkX09Uv/QXVQmk9N8mUkTbnWzsC9+xzGcHPQMHnPs6Kd8lW3SR3LnVh0PYt
Iqhpan4srJqIdMdafJUZHwOyW2PExlOF+LBpUO9aZUaoWpO1IQsE7N69EQ6uQ0Fvxdk76qr8FI/V
oc9lkQW2paHOzqbHRcDdSrVyx1dxhx04o1CzMdhE7nAtLTt6Ie+BMsNSpFa5Igsar09vHj7jTV6a
3rmbU04vwLMJEtQgN1v7nlSiug6T0ddZWhTLcZ5rdeegGa6o0bScL5xTnZp4yu4LQuvrQGYLHrsW
qnmGpSnja8QOTd0hFc4+w+UiAVJnAM9oDWGgXBpGGkOqQbeMVsoKw2y6OldBCxvaLD/5JEbc0NSe
2sydDpEiPdPr8jWEAkNGNbqc+jVWDBY8GNS6/sLclyQqzKn6pPmffXam9Dl4cqshRMm2hBJMY0hi
T+IFSvX652m24DYY7leYAj8iXPFvVKzFW9FBIciIs3txC1vbmWpAGYu0/3F2qFiKudVZevv9QhoX
6ZyUQ9OB7FuVnjSzHq2NckXnHlxy47hjLKe+18ZVAInStL5nfIMnHVhSXLMGWA2K8GWzt7LMqkcD
zekjfjWE7x8WLQDKSAc7Q3ytMKV9lzimmtDQ+IUSFcDJJijraUZmPH5uqXh431KanDJxwG4oDatb
0WDOW1ZzHrcls7Ol0I2BoT//qo5S45n6mM4U76N1ivMJ321e99+7YTUuYSQrf+YYavAFLH30RjSh
/jUnlQE/0upe7ZDpvmHlogm3olTD1E8u6XfNbkAsGguxYdslt6ungrxS3iTgDfXOjXt4lpY/MtEY
poSPR0K4HEy5qqifEmfIbWpM2Hq2bvMzfjMhpMQ3k9sbnD58jCpz7vON6niW28xGLrWpUGm5NDET
D5qlVtWd08Xu6RtFpfQkHGEZxECEdH7zopHdAdiC8SM+IX/W9tq8lgA9G9IooJnyL1ki4Oc52MYG
DJ4O7xJyZJJ2immI3lSrgMHGENOnIIrt8qcxDDzqIE1sqCM427ffX0xbaTHYTdaTabh0AmWai7gc
O3Ts1HsM2gSvSKK0QmZBvPSokasnG/0YSJwUIN+qLMCBVuXwF8ilXvx7Q9oTwVI22KK57esne0RR
wVvIvjUcI8nfR8oS85C2EXl27lAxqH2Joye581WvfiqH2WgwGOTT3DmanjyjtjT21VBVr6Xuu4+5
68sobDCLPmNDIYRyYgwf3VsDf/TBUILnSFXOs07RGtPlzVOlsf/DkR3ynvDdZfYP8ZC5DK+iwr/T
c0gg803pXtKAJ4uctFPdjzTrsmLvD61kgeEDZNoTxWlMYUGSPPUub+dyqJj/nUbscCLgc0hFZydW
kx2F0zJEadmtZBwuqQ2jt7JouLmEub/CErAomfRwp8vQWMh7u0+UKUK5lpCFWxlAWdEGvoCjwDtU
1OLETpqcVdi/j2XsTRe0TOmnZUnGl9Egs/5jHvgfDeo/aVBB6jAZ/f+j4c17//5/flR92s/X9xJC
4PH7e1L/FYLAqHv9iT8xfzpiUjSeqDwtYjn4zP0P5k93gfkRXoswjEE8w94/EAiWj/50hb4ZxHjY
iB4Ymf+BQLD03zCb+qzuTBsBPGzAf0t/av0yxkaMgsKVp8VKH/mb+SuXOdcjOdhuRKR7YmnHOAIq
f66oduijPdovNwbbU+Ym2iLhO8XTkja2/xW94I+E7eeT5eamHeq1+ew4+vSau1p6Zi8y8Uk1PK7O
pnK8kvse8PYGB+jc3ygUYhkkMZFzL6KSkRZUKi1MoN9+2u2VInzs6iKAlcEIMGlHM1Id4WIyCsax
GZazHm/w11obBBz2jpktlEAcS4954/dtkIkxuhRm01y6wej3s6PkCcfM+J0MyzcLB813y+/EF6IJ
3L1o0uatLXMRWnbp0H5072abASph6MNw0DXa5LzMyXQQTW3teKO0awWMj4bGVbsE2VYbha0Pcaxl
LDDopSIgsGA6ZaRjdq8lifGqUI0j42026IpI90wTgW+5qm/9IKsNu6nXgsDbl8meZoCFWLIaw3+d
Js/ZKkEKm6nKR+h/8mANrXFtyxLunWdGocjS9ELm+Xi0nSS9I5fz3e+lTadJ/2LT355lSXRhUWvq
a4fN4zhH9uqd1IsfZZGCU8o8/ceqvpSAWNr64Bvpj2Ew2i31yfTZ1onnAj6OHV42HtFXZeG9GcbA
Et4lTnTy6tcyLV8loQt3lWzYdCSjYoer2VuwY/UWJYwb2o1bVoE7Vqjhi1LZemCmfvnkLhOrZSqy
5rh+Il+k6pwdlS33cjQU+QEdgARJBCCAZ6/cTaUpZe4F3czMwoBY48DJ9fhm5Xr+MM/dch+NiQiT
Bc1rYmIFDFIx2TyKWW/pia09WFgG4aVmpk+j0xUXm7H6JZkd8w55FqqeJBofxla2u6rrpm89KZwE
EQqzD4dca34Cg80GCDiWvi8Jdr20C/ODiXzISx8RdxNMzhh/T2gkw2IdeSNareJgZqd+1uH91UHa
u+I6kgYYOK2/YKkg/LEKiSL3g9ijqTenGe0Md67BrCqXM70XrjcjTohZSAzmW1qJzbIuDf+synLK
gr4BKB4qoG47f5wuqeRJudJpTt0ydy9x6xK9pnIj+VkPS731vMI/EMrsXFpb++4sNtKQBDI/QWwx
bUmLtTiYFlaxJlMqkmuF/4oylSjC1j03EUPv0qMAKxAUfVWOXuyMVHe+5TJaQGaVhB84KnH24Hts
gL79+NmvLfNByyOXnblH0GbPBCis8nE+16Nm9aHnRfXJc/KxIcpXS7YzC5sHhsr1dpE+IwUHDUs/
mcyhKcRuBY3rngSR4RNzr5rJesUmDeAu6F4MQ2etoYGyS98rQ8/nT3KIQ6UOLXxoue7IeKpV81Zf
VIZwMpq3KalSL2qSE2Z1qe8SmzyTxAe+zpgmuiPstH1wHLnRcaI/w8V0bvj8Dm1lLvfjIMawntwT
+4Z0DLLCmI5pVI50i079wOJNYxivd1PgNd78lHdFc1d2yng2DJm90bJKqKc5JdnYjkdvTpPoWAnf
fZoyaYTYYkNzasRd6WpbUdXjY2zJ9jLD9w45PMWVxhKyi10lYVWmhC4L6W9icxTHRerf9dF2ro0l
qyOLQONYdgNOSr0rQQc0BhzVKN63KEY3UdpgBGxmdk+E1z4tfjL/KEXThIvmzocZD+ejO5N8yrsI
BBqBZxLqqZ3vmaQ2mzTiIBfG0p/TZJheqkJYO9lUMYAs5dwJ6qegrjmIfDRbm4jhxRezFslhZl8V
alOBOM3qZ22TdbbzhUtwYRrnaz/0DKv/NCbgORxr+JlFWn21ME/eOunojDFKOBhSvMdLGW+lXhQb
o1YKJXOnwZFjY/gFyFp/acvi1tX1cEp8pwrNtm3OjDP6h6WyAc2TRPog9NS/75IWojVozmVrxU67
L606DZmSeJsu9xSUjcT6Ec+V2o7u9G0o0IPknJlFEOVjEra0hhdCpSUIEnt8bViMhQA/lhtKZ3/T
m7XzBTEF3w3TaVh7YFWFqzrdVXhpObBiphl2ar3lhaJxdWV61aOq2i+i1t/HMrY2U7+8RANHujHO
xsFWDoh0oUWMC1N9Ykq5eEcwe7dF6Md1jR/4LVFf21wQIoiC1/Y3bqoeRxxKr9pko6kYyg5PbZU8
ZEUHsV+T8fhJ0OuffFO6pxjCkccJGvkHzk2GBb24dK5m3pZleMDaxJymYGfAZDcPbT57MBqNcl1O
BHwlgLj5OmPDJU6Ovqfd8tnno0awB8HJZhSHrAs9PPXOgEu7L7asA8pQeNGFAj/f18ww4ZJlXlAt
jJfGBiwHX6hkB2g83cf9gC99Klh8eVEJfazl+CZB9z1JBYhwJZwzg2j3G/bp4mvbNdrV7vCwm6X9
xHrzRcwWcmM/kpdxNN0jWdjL3hvcYTXXq5euTIYTU533bMn6Y5KhBZF5uurNZ9Ial4J1yaTF3Qkk
x7Alq9a6deQvPyzrMoEFjA3LIHtklGZ8YfA5XmjswVaaeqRe9TTVDsWi7EvZpNnJSO1dbWYQMwzm
Qo71adJGKxDsC7dpZcIIilXxjE212Q9Mqe8ZVcCv6Ei1FzL64eUxR2CcJHuv82khSHc5dAi6L4ll
jefGzuPPGPhopjrSxZqFuZXl2MtPVszPSVnBocoz9ymPeAo9eWQhz4/BQWbeKU7VbZPob1HHPBqD
NIuHpgYCCI10ciawVLr1Usi8Oknm81tLa9Uehbm/S6c8emuHeUJ9mrZvk1Y5Ad56uCPKUEd3zIZd
4XRvo8654hP1DaRdITQn+rIYkndtsOdNOyOed71sOfk+2+g8Ls5Tf3aJYQQfU5fqahUonlD9MY8R
bvGSaU71RFGVnyvpcdXbOrtAQi+97H5l6eyRgzdX5pW70jHXZGzR3rFLYPU+2doex225E4kRX1wW
vdvWyIZDDICFKTIrswfgONMxsQp9N2EQ3MxZZoejNb51OmctWx5Q9OOoL/fNSN53bkMuqJe22tne
OL0PXkSacCfZN0R559gAumJJZucsrQ1JqtM34tSaN3yzoaDMfS9jP9rwRAhkKeUuKyu/DmfyrY9z
JzyC5XLtACA1d0JX5mUW6FZe3QGXyEMztxyWQSVoRqaO35nBGswKFmJZS4c20fYF49A8u6fuDftU
FLuRBnsnooYbdIz008I5QFQd1WbieeIQmZpgLeHZQT8XAK16FP41CV5b9BBwduYBRFiRP9psKSFZ
iHk6R1FHq1kZdKm81W9oEOMDjMNo61YDtKR4xk3aMlDB1691GzkWg4UIO3I/k7gH5EKHe8BGWzy6
DRdSQGxqxpKy179NjVvcI6jgQFBGEZpRTmJ6tSC6ePKmaMiwJCgvqb+loBXY7JdV4ZfP7gTbwzpF
tpfm537y/PoZzAevGkOdSdPgjVZUykHWsqs1WaTqrgorWu8Ny9Hc3cxJTIxRH2U9gtN5+tGwdPs+
woELqBHsz/xM/aaxA9zNhmqO0RxNbaArVMmsItLToDx5Jxv+67pz6i8m3zwzB9LBI6JU8X25YVVs
7FO8EjUcgKmCKir0O7JTvKPDRJZvMM3c1R2c54X1XCBb2/luFU0XBYu7NGfcEuPWXvz2RqKHGWRO
2Z60sikfxZjAzEG4GwdkgA0Hq+i99TSYN1R9xqa2KGGMsVsJnGl+cNrC2jLTM86i6pgqCoy9KbPl
rQdEdWM7cwnfUuPxRN7UWEWU9doxPoIESvgXgyxdM+A9EQ0jeOVuYCuBhhf9/GW0o/s4w85CNJE/
PU1MsDcqA7MT9sMi7uB/GWHWd92mBcojA1QgzsAcqYEpzC2MB3iSAH06tjxB11TlaSqz7Dn2iv5L
T+lJz9Sp61wt8VNpLx1wFF7sqEyyveb3dF+2UeLIiMAlMUybQLUOjYB30cmnKCpJfUmx1++HxbeP
eddWtz72ESBIXX4i3RFGOJucz1Udf4pAjV4sghFShjhCO+DkZRmHoxnBshJn1y+bJ7aaXbWJIkLW
7xjiWY9VIt/dpWVa3CwTjBQtEUvooXYgR3yJLfYpzNLu82IuXjPRZC9kl0Z7iNR6HM4Q/fa0Qv1L
3g7j9zW2LmyYbjPGipsNz6jaZW3GlxDa8RK0Tm/PAa0HtY5EDLvB2zN+Xaj6qPg1uwtIvZ8fpOvl
yaaCCXJrY/YoQi7sXtl+GdvO0/St4SKtGnMrPSbLkl3QlabHEtrhlTkvDezk8GES2tfCq5cXICKR
HaAq44+DlVJvhZ3PrzlHhcEnfxThkrnLvTbXy6ZA6M5mQRW3aq2TzIXPFWBh4qSkQHJuQF5rqHyh
Uvv1ocoinbUI+k/6z7WQ1e32YpsU12zF1mnnEm/9WY7uymTJSvm57kevvNfzrDMRJTg0Y1LnFmBl
DCw2HBKnEyMrAGf5rs2VGB90X8sODtg+fqHS5tce8tX0vIxaxv2q9TS8PVuVDpgzrh0M40CbTKI2
z7wkrYdEIpYJKeedXg958F+lpbrE6rXpusTTPtJc+QxCbvr0l/HP/6IM/CXHg/ZhDZuz8d9QlTHd
+VV128gJ9J+pj1c8fgQq+2Sf6IbiHSmPGnK2KH4zSnOvMuNk5vZOs9qdnehbz43umgGCeN1v+VP3
/pKxoP8nbMYvCsLfn5uDpRPRN36dXz1lpa6IKIqM8do07dVtqBWjQ6r+icP+d+Xgx4MgmEd+KwAR
u7++AHbWTzS9arymBg46/udoJDS69e4/I8mPweI/jCTXSR0TwX89knyqBwCtm3dmy3/zxv/xg39M
Jn3nN7zYOr5Hn1ni71PGP7zxurB+Ewi5ccmQffk7ufXP2aT9G1oXtPQm0VfWh2ue22wFt1rGb6SE
IOsnFAtChc7b/t//92/xyN0v//+v+lpCS375FCEaxnssdKSuvoGFfx1d/kU37At461EktTPWDPVI
WAkZ2lZrH8uCaF9mbt0GTKFxMwuH9hC71FZXs38kRiPZwLkbn+ecLEGzM8pQl713yAl1RBaQZVUI
pA1zNq3SFtLJLW7Mg5Vjl4ystoC6BT1uyB8YobNPGmPgYwxVAtQqU0gd7Qc+JQq7ulwwIoPm/dRX
MmHLabghpUh5tUbVPVemz4Hn9taGSqv4LjRUa575ktXZTyzbEnXm8Dj7jEOz2rH3crQtJBo0cLc0
W4YTwEt5nl2wRQGA2nyv2LRvsqKiYh8d91jGU7nNsqU/WYSy7fpuMDmC63V9y8t5bR3NmCBZzdFG
sZxFejBJktSggM+HBaTQVpB0iaJI2hfRegdSJG+N0F0SLXz9rsz1M5rAcpORGsCgCigcccFzAKaL
sCRYbSEfGKZLFVIKGRNHlMI/ilmuhrxZ5Xnp0XO5tuaeuPSdkHgp9koWPqvJiKfqMFUcl3SXQHHy
YnmSdiU3RC988mfdeCGbyjkSS6W+VHptkN7CvEPMZh1dm3Y2xLaok5QsBUaPujirilX4U9WaeT4w
4EEy8g1dAzmSpLEQc7obWJyyja3qbgmFXQOlYwole1KtMiAyZuVd/RhQ3Hb0pDkF7azkuC/hlR0M
1572jC8Jl0oZ9N9PZcXQ2u1Fj+4QWQy5s0tnqgATi31x81aEmT6l+ZaUCxJZeuWXiDcxEl+1OTUb
DXzKNMXLvm7apW3viAFMNaRlCBTZBwT8os5l36imCveuG1W9036pjci+tYDEWRz7hL5rUOBYl1E9
oHfJy30law9hmOkuSo07P0rAce+tpWn7m9/Nxuy8jIK8qCdNzSSpAFfLSOsB/4gPxNhxbXkT2Ti5
U9tiuhtT4C1yJ7uIrbJeCP0VwOH0CCV+KYM5q+DGMfjLaqaR8bTBwOBHoTZ0cGJgr2ifktxO842x
uOUcEBYw3eU6GRGUWfK7DWGcbGuMPreqSIgw4SSRDRC9JvkU2RUEb40BA2qgZhb3ixodtStg+UXh
IJOaOSykttOc6cmBlaq2TRfsluHoDfNTGyUsJUyo6a95WqBDtqVjEvttGZsiLuN7mczyHsmOt0Xv
2oROolcjES4M2hbRgaCPpdgCpF8ORBg2Dw5F5Cef2eAQuFJHKGxRa8Jq8/X2aGRZdEygl5OQ4KJq
s7ueuK24n+wNiMqe2TeERd7yJWdla5v9TCWVGLgDu/42KLd6kB7yHldahBQp1JOZip+jopnOTdEY
hK0RlfE7/+k/O7p/uBAN/F3YgP71hXj98bV97/K/XYZ//NCfl6H9G7ejRd4QJA08aevv++tlyJ6M
NbyJJ9f9y57OZE8He4ycw9UjgZvkf/Z04t+6/LzVJvQXex6KQ4zibAx9SkhndVb9/fIrzEGDxZuo
iwkMXCV3S96CSqd4h444VxfEbdbclMdURckP5o2eDHIEi8/4r5zjqnJ4KkovWpA2msYavOIgHeyc
y5RREZIwzPfR6Jh2BgabgF21pMNnC5H1tWVOmW2U4Q87v/fSqzF55joRiYFHqGUN5Eq60J5t89rH
JWrHFRcr0As/5LmoHvpxHG5wJY0MzUecf2oRRJ2YKnlDMCEn/iwk2MpBJGvj6dX+rUi88tYa/SfH
y5dj5+mcvLobPzjSXm5CL9rbBD0Q7h5Pf8HPsNVGE0gfLHBmjyZxFOwciYCyiAFLkQ49D2k2vbtu
Cd6zqyOSOBZnepCy6R6oWZJXrtJhDkWdEbcbK2PnJ67+xKmU3OzJyRiwW+QKaoJrFv6wcfFk98LG
DOoj2he3DSxlGqEwm+W5AvsSCn36imgfK7ip8u4gNJVeZFpxWFeN3b0REjIm9NfzKlPKyqs3qmSn
9clyaksLLU0ym/GmUJ4bgj7wGGXAqH0wfOQ+WhHfoz/NWMpMKMwTCLAdlfxBjPV4mZJquFSanl4T
vXS8oC/H+Qmh/4CK2odx4+QGbfjUHWZDVneuFOMFW+58oAw03zPLrE+Zr/dPONgK9Aa5lm/RdENb
aBODaTMbpjsMP2IndVfbVFFRPWq9MJ/62eq/gHArfs5GJ54NBdPByafqvuxs7Wqm7o49UU8iZEyY
kpwq/0F2XvmZxFa10z3CNqqeC3ys8mU/CjJzNFq07xLc6L3eM5DMJrwqvqlSifRljmMCt33/m0lB
1Iay1SmvtMXEb0Rid75FopU8Vp0SOVpOiY0lQmcIGlntPBTmAUmh7wwpvXM1KMTXpt1crZYGfahE
SZDIgkm9i6fdpJPBu8Wgk12axbIOBfOLg1AOhF7EXg9EdnH/5/Fyn6Pi4tqyI+2bV5sss6O40/1A
jk7B2se1h3OVOi7nV5Kc8BQhbob8jB27IFBdLwGxT9l0cfwcJ6LVDXeQw5jA1I1USEY5/+XHVaB9
3Ao2+bY4R+x7jyujXe8Otd4iuAP6m7HeLPnHJTN8XDj6evegjx8QMa83EipCLqdurLio0vXOQoMY
HZlNtEf740rzPq43kKhcdWRvlJ84RpqHeb0Jq/VOVENpb0kCBm/7cWUO6+3J1gJXyHqjluvd2q63
rLPet+TrcfXy3Z5eu48Lmcnq/OQ4Odd0s97Yy3p3205UnoZFUUyVH5c7BhFb7ar1zofSruvgYD9K
gdyLP7k6C2V0snWEDkvKiJMkbZbNUtbfgS9TVgxrhWF+FBvpR+GRrTVIrNZyJPsoTYq1SjE/ChbU
ghQv00ch06w1DaxQ/bX9KHSY57dUPcXvNRAIho+SiOJ9rZAIiI2pl+Lxo3qaPkop/GtrXRW7JZzS
nmwWdahlybedsavRaUvYA6FlYWYpIx+f2myKvW9WnEdJBRKhEKP9UoLIkO7Wa4ii2WnD0GffZ7dp
9HyPdbdtf/cm/qcO+Ic6gECRVcDyr+uAM8Kd4Vs+/02u8/sP/VEHeOhrSF9lfQaqxTG46//Exfm/
2YBOLd/4/apfhxp/Jpb4v0FAJbCVYsBhwiuoHf7oiU16bJ/+Gqcp/IB/tyf+FVYErm2NXF7JIPDi
0Lb8Yh8HWpm0Hs7Tk9Ih1Ydoi9zHEXHdzgSJvk+BopyU+Jpp43RsJMujIKs9/waetj+0bqn2JpPS
vWB/IH5Xh/2te/9rt24b/I1/LVh4ajT86+wLEgwcrV9hclNHWZBTpx1dTH/1vc+Rd+8tDhoHVDN2
HuhD/URHpVnbtMViEZs+aZ+K9QaNZvTdqyr9seOrKAHAw9N2XxfA4dc5kWMfEhyofylxjeF+KlSD
SUZBJtgU6JPFegV5ncZGrNe8w5hHy8YSedUnUK9HK8csiUapfUkwOB4IzSQ1MvTtQt48ZM3zhtLB
LAMtr/yT1w76lnDRbDu1/rP0WIQOLCI98wF94vDi12iZUYuUCio8m2aW+pn8WpKLdSPtsWbsbTH8
xh5bixk/2ap0xAieFCfWxAV2JqwOa2NoMmWWZDfiJdtVLe7BKNb2bbq0Jxln+n4A9/0tFUl772Pu
3ThZd2a0empYoT67VYo7x5/mvdsNPfsadPmTprQNTCXZstnInKvEXY2unkoDExBuxEGvb5rlfxFm
1sEYYGG+WfIi+UwsXOMGYrDHOy2utcdlyP2JtK25246pmi6xuzxhiCvu2xkwC/AJLptudPR45+Wa
9bXt2F1hsO2gHrPXDwcshM5NeHlzU6w7UYRSEtpqYYTBal7P77i9O8YfcYuEiHDOewDBWwYUxg6u
DYMaISbC9MzqODmNvWckW+0at8cJr7fOEHbI6tYUOP0wmcCZmHprgbkIFsZIs47W0oPGlrHzyKsu
z2hM2l3GoXuKddM/MajyTgwMCizalSg+N73ePdcucxg56i4qm0FrniQQ5atZGdPFVGSXx6T97CzA
Y9tS8te3BlJtrHrt1kjrHgFToqwdBiB2Hw3d7HvOx57Ev3YKuYHbYOni8SZchp+U2upsj92wLazU
31syKbaspyt2OOg5oOaYxFSWmO/FAs61TRM+0m3pRruRgnIOF2k5n21+yaql0ILI84ctmyP93YjJ
ui+zef5hyDi6k2ieNx6V6MFqLDWGPZOXL50xk14bcZUfDeVkgJhHc07CpXexhanaoER37a7zAkOW
rsFQBz1pIMgHo4kuYpDSXaQ921O3apK1osfT0epnH/m8TfMsiqNiT9IF5GwklxhDGa5qJEkmmLsl
tFS2zTqq3WImvQA5a2R9K0drZDtVjC2j+6a6rOYDXr5F5ne2nVHi1wwWiCVZv114wawgJrRB7anH
TPQf+LEeXTS69t7Na+eIoeXFT8blqwu8chuNnXX0HQS1qYMqYUN8RH3lJBy/qIQ0VlwBDhqsMl4q
fZOnbb5e7dU4s9tr3bcKy/GwsSVVWlCzWlVXkyL4SJrcWAcIjFxWtKpPystcu/AifCIojjXyZ3TZ
HCJoLlgO3+MpcFCpp7Fx3xXW+Oi0Su9YOyVqIlmhK+7xhLBhNjzc6mOtam3XsnlWG0ZCztXhODiX
CUueYIiK8hMgAXnD0dHjPi0M8464SXnRZF93G9eUAp9hVj+7taEVG31IrY2o+fcOn1HW3vqcnNRi
sxk3kuQhNcgBb0q9evZs1AYxKvhN2Ywo+Zqaw9fu8vxbFpPbRsQCtF7yXlrnAXB+oX1ucO2P5GtI
/2aYo5duXYFghV1n67Q7S5T+D4jmeO1KffyCrqQI1ayrm94rEmRrpDCao7GVG+rkIIxMCZZciXVO
fEVPM6r2CYf8kpG/4ySPTICN11qV6c2dp1I/dG0XP9ANU3MrJPJFCIm5e6sZXpaBpdNZ7dvVOh4h
sX9PpC9RVkOUuusRa7CL1UebQafpYTrI5z4hDLrX8g2WFR4OcZD6yfnu36ChjzvpImCAKcRDMAhc
LhZn8y6bTeTnuTFt5WjLLWfDdMyg/3xGiq7zDz50nPN8yXMTO/FMHksRDAtiGkQQRhVmtnQveown
K3BngmVwtumob6YxjY6KHu3cE5z68bYRfpmcS9FqSTCY/JFKd7dd4nzLTDFuRs9qwlxO5qeU9uiY
Na774EPF5FHLb4bsiI8gJs+8n7TmgjWGI8cuLvHsRd+mDvcV3o4A4dJE8l+pbTyBLLRprOw626he
rVpr+IFlMu6J7+I9HVNvvKLGESEqT2OD78/ArsI/AOJpb9mYy8cWvdTZshl2rw6j6gs7A/VNmUV3
RvzrbtqynoAwt97XQsvrb3xKbTO0YMhydGSu8rYzgJtLh4iLfAXPbM+mJ6cusM3ENUO9W1wL/MD/
Y+9Me9s21j3+VYrzXgL35cU5wLUs73acOEvTN4Riq9z3nZ/+/kaUU0l23TYMcISLKxQFEjsjcjic
eZb/Muu1UxxMbfWsF0IDp91QS5+NoKqSZW7k4TetQg5w2du0JE9c/IYdUGWzfqCUUcXkYZ7ZrrBK
i4bzLPSb2YIeb/EV7HD4mRCOxwUoRQuadzM4wx96yXgIO0c/DwKSmqWKZMCwSHAqui39FtFR2hHK
OyeEvUyIlf7Wp051VkGQOE0riecFkAlaFvzF5DdVz2PG9JsnBXXPpWQ4mjhEi/iW2oF8U7Kd8RaV
PdwaGhXUjJFCy04iiz74iWkq4QrawtdyJhunei+rGsZednYVWPQl4Y1ZM41OLZycRR05LYYiZBwf
ALxWd2kQ9O9RCPEfuqiRVFI/1JtOCljRZ5RmP7i24BLRnrwFO+mddimv2I2vGLJ+andlWQJ9wSIH
/KRGa5Ya0KkT9OZjG3T5N8vOs4Zm78y+Qs0LBBxCfCCD4yC1l71McR95zmK4tALDTPEgr42bKpYG
7STzoxo46WwwaW0EQXODa4IODIJ9JFgU0IZwgreD4osSmP3sfQPDQjuvOfTxhU4H2uqsAWdpp5Fx
1QQFJ4EG4jO/AG2qdadd63hAD0xIjtT2VesBXT6NwrIJ4FfDMuHaKkI2Ws8WsKDUiIJb8tWwQ8nV
jO+CxOo+F4qdf5DV1vwtd6wAOBp0a1Etmz3CD5ldWXjdJud5WQBRmbkx5D5PHjgykOKpz/04k+8x
tPbiK2xy7XdubQINTiTNh+/hSpcokkUS/STMtgC9GdJpR/1ara4Nq1dS4/8pGCOR4i/SOh3Ju7ey
usUq8n9Pi8Tfq++O/2qb1smyNofdQFEVnWusqXUGfC7vIumtiY69oUmUkcnTvid2dDTpfKFYJGmo
aCryDg9DVea6yoC0uC2ovGTp/6Tee6g6KcHoQIXcoJCMio2GN9J+uRcZWWpCkKbvkla1l/jCghsC
T2iGiIC0zXtjpvdXWIOLXQZ3hq8VHa1PKLsK/I2d5F92Zu81AMMLUojNXJDogpKXSOwMZmS386rR
FELooG7uKCJizIgcCyBmsHveAsnrFJGWVqu/mk0GL6qILRT386CAFOgMpakByTaTJ7uqwEHanlef
KlEkfxp06CQQMnRnLfczJEbevuINbGG3XM78CUCDhZwdlXrS5IMr9k0aNTRU79ROdxHrhDz1qSEz
V88qs0/BAfadDKXfdCwwWEaPwkgoYYLTFFDeCrRLn8AClTJ09ozQrvLxc6liTwKzUYC+XLpp4N1j
b3kVl7ZHIAZ353Pp5dfYY8FHheZl3IKbbOLzt+/q5WMwoQxh5g05nPrsIVaDvdJtZ1lU3tEHt3H/
sqgbazSjM7A28OtbEtWHzJGjX9/+2kOICDV2lNNN6rmsRf4nLmun705f0NUycLB3iYX9mRx69V1S
ovxkOd7nt79JKH/tPjXxTbYEsRGHWM4662CdQW3vSV299M7KJG2Vb1w00AMk+iCxWkp5DaVUlXoL
6RJVb+O/WjSHAAPuUhGC43CzoCchNb9/o6YpvGEA198BxtRXcVDrqxDDgehcH+JyiRMRJk20C7zz
NsqhS+Rhaq4rEISXrd1rN52h0v1VW7yeBA03/qQWmaICvyQxy2Zo7UizIYYMAzWiuNBVY6j/QqHr
UGoOOTX02Nk2sCNQNN5VUZLZeVCSUeuJTmX6Vq6deOUXVUmvYhZWiYgc+sS9aj0//OZadnbTDbl3
Bk+iA/0uN+bvlTkMIFNRx1sgQdWs/UI1nyjceObV249Y0188ZLhvLCJaFOytvJ1Q43av0igsXyq8
Sr0NtDxzbOsUBbMBZkangl1okHIoulx638Roip54nmcuCjk5R1cnO4+0TFmE5FkfskgnzDOj1v3S
BvCZ+7KiI0VD+RMEVBBVeULjmLgIL+lKDRCZCsrkrs2QWMfNRV26rmzDfBkcQaxsvJjCdBV9UAL3
Huw/EWVUm/kdamQfKwW60KnRoBYm+7SnTwutHmj0tlZwg2Mm/k5SrV15OLTcgCDDy7rFBi9esOZ9
oF0FYjVtbw2n5CGz0yHoHrHFqx5qaQb8rY0r88wpwUZqjqJ8zD28ac8dk1bOyeCFzjdblYoGkFs+
+62OTfLYrFQuwzTJLmWKJE9+A4j1JFPj8MHHAtA8aXLNvSqcAuEd5uFcFCjf5W1MQ4wq1Zksd3Kz
jKhoYvQHiCVHMMNzlnGpYi2a2e9wf3clSHRpdcFRo7RQYAOcuisz+rWLJe9aKeyMPK3Sz9GBmKGC
Y8RI4RopsGGpC4azhor92azrpBV9xPb30oUDtcCNSQJk6SqNe9ZVoAbUtm2XvdvU1lmRwkaJUKG4
SPjVE7bzAk3XJm5MlIGCYLbAu07ILuhIcWlV5CxUMtP4vDDwo0etS3rf0r5FgaOQKKOxkqoz/MEQ
Ze1Uk/5KOEDUf1+3WOCCW/Aj5NOeyDoUZfhatrMOr3DYE2zl6aPSx0GlAg2papCld1VYxWF3hTzJ
cN7YdeVcxhuT4UCByC1Bj7gkJ4REXfMM4NDkEpzpwYMbRXfM4TysorDNl/CaXGlRRBV8Yy/HOCS9
CHuz9XDzi+zqht6MyopqHUDV7aLmLDwzZl7gvCMSVg1IdtCHWHBqWMZnCRw9+yTCCtN2UMj0DRQT
kPjWcaSUEApPUXePF1iZAV5uIxzllqVDVHCmJy7+exaZILmMEmpCI6DAyKcpe7ckq5/F8TJ1fet3
1DfwiKNsAD/S16zautMhCzlXiWpWJq3GBKulob8oURUtvGXmIvWxdMoGQy+7KBP/rI+MuMdCroyz
ha4IwyOzw2yKGmbukwcD7/8yy2J0tlTVCIUlTizNUFOQiNZrMB1fghjL6ku1sKGJhFR0Pwx1pZJ5
z1JFvvYAOyMtY3qKV51jXJklDxzG6lXgDkp4VmdcAQpT1KeW9IoHnOQDuEa3sUWGSX6UZMWpI8v1
VQHcLTp1HdWtEZ1u4Nv7ZilEC5AhGtZRSG391OIC4lO1j9EakTHAvXB9E1i+Eoa5CsjYR8esdiDb
z9ois+8DtLe1BUL4uHTGWTDMriUn0s4Q1Hd1Ltc2syXFlyG9hJGKX25oa16L9M+AoyEaHwnLx1WF
0Bvi4idV589+KxJEYmYnPu+Rcicjd4fomYX+jvqxj1qlvjMyGzkXgDTVrV4nHEluaYb8Axu9O/UM
yqScfIXUiuURCll4o5atPvjXcuVWHzXo4it02mCxw+Dlt2sUvNRlaQzYJMU1vn2nkZqHJchmZ7lx
EI5gP+Bv6QbNA1St9ltWeOpFY7bIqVFTBSFMDY9x9CjFTXljOz50GZXsstLlj3I14zdaY4Z1UiX3
GMM26AyhZdYpSnuZmG6pvPOFL3Ii5WJxBgG8eTMqvfIexQpM7aS85dl4bcKFpTTa5GtOMPszVGVW
NxUmXOQsyt7pZVXajnIfFHUYflAsFLlAiwVtfVuhF0bwifTePdLjBiJkbcxXp+mAvVunxNUAQx/b
0JOYwhyUTFdcF4UxWGcJd1HnqFliNYIb3MIOG14duFuYcCeFKcQ/kHdZufyMPVWpEu8dbdS+AK2X
eRKPuxW2WKjywZDw0UShsSwB6FiCJ0Odgj+XmA1zgNeLjrY7cXKFjStyZbQbGt+3KFzouD52vWus
Rnu1rgCfpladVF67hLnBdZolYfBgcVqcl4kk3+W2m39FWNiARK15vnKVWtA1rjE2dzEPLcwcPXaz
F2RipnUhmXkPMC7U7/FVk9IL8AhN+AVNLre8gIcZ/94PtthD/BwhC/IAS1362NqWZ5kR219m6CIj
dJm5ZPUa21xfYL1MDby8tuNQkC0U1O/Z9nSkvOlPYyUczPDFipSE12SYOap9qQG1zCEe97h2WzJL
atmKHRvRixkz2jXIznLItPm1XNQKgEE7qhpOWurwhN6QKEER2x9nPWH61QDDW36qQDOIwjOMj0u/
VRiKsqFH1bl1DVcornktgE3bOBsoOFW3XW9GD0GDYp9llhdajIDmxdAaPJxQovZ0nqEhk94mRqfd
gHQA2eihatZcu32beQs0SWPvI5FI+YRuD9sIW2cJ0ckrW5zNW5gLnAJ9/gAjSPZ/xY1QtXCpJgLr
P2WViuefB7CuWHrmLHSvZk7WfvNccCKLyCyN8NIH//q+K2fOcF7UtCAAuQmfcl+pAvW+Ax+p38UG
QqkQsRvJuNVkj+oSBcqWHo2X8dRaK0FXqBgQY8IfvoyWcod19mkDe7Q4H6yc1R9qnQsdxumlcuFk
pZF/aSk1fQyoUTm8Dr79mbUel/eJnchssEpmB2cWqist0qRf0dFqLaqOYWN+0pUE2cxWdyvtVnMi
q/mQO6XQwXJZ0csMdZ78jMQBxruvVmF6YxaZp94rnRQZl06X2twXmqrubVjM0PGKUS5VcGyM6+o2
ihxBP7VDZJo9QXjAEwvGR06Z9RR+gImPNwCD201U+n+mQb69EaE1sdwgwt/X66L/sC7rqPoOohY/
vU/9pPqY/tgvPaOxXx9oK3LxF7UZQnqLBHGv5b65qM0VvzVGtEJDo35CQUOUWXDyQ/tIo4XOhxQh
ShM4p5sfz2x1rvO3Bqj0zY8lWu984c4k/dk0vH2H43y+/Ttv3cFYvLp8+ve/5FdEQv7xLGhz1YIt
oYhak/iQSO3OgihhGQJ/CL3k2O5fUWn6T10FJnQEQ0U5Qx3vn3R27/4laQ4sE9Oe7fyMNcEjWgUq
sRA4zmnvAsQLU6coIeS4d2/fVOZgSwwbEOo4PUe3CMTrOfHuDaq0dPdQq0J2XHxYVLuTQDtwDv6G
apGokB7XHqCSgI4XNaJmvu+q/2AnVGWWOFVl/IfGnY6S1O792/ac+F5BvgQrOfFhjziuWaAYzjVP
egVUoX5EZUsBbT1+9ifB1Jkky9BU2Rp/fHxLAYLd+GQmLAVrTrIMh1DePmpO2d2lYElzapZUaaXt
UmG/OK6lQF1SgOQmrQXZ5i5ZDADr9m8fWiVGrKYGo2kMCsZVd0ynAZ2kqYtAozWFCRhW6+a41A8W
AY8eBTFIliAfj+3xgweUpp6GdNlMXiWoFdud4CAmsFgeoDQxE2IdiM/xRYaiQD/xJVAtiJXQMIWS
8+ZzeCpYRI6SbGF88n2VHNdWwNEorMwmbQWqOsdwxUYP8Y8N72BDBNxP+Chv48OjWwu0dUUrddIs
aMwCfCPLoOkzfg72RUWa09+WoTCNadkR7YivwbP/aZakmmLbB0cMAnnzOciSLH2uWDSuVRlZQ/E5
uuBAtnGwnLgKVGlu84wl2pavrgJbngvLLyhuf8TRx7UjbNl3094FWawFgiDTGJ81x83ujkC0zCSZ
CoHk+PMj3BEUe/JaIBCCqE/9ZLxJ6fB04I2RLN6G5xji6PJm8A3b8OXHw2V0USFGgP7Y5gSH1ROT
tQJ+B5DP9ow8unAZ6ogwzpv2RlAiojwAmmD73r+Ml3DGs4FGbXfHo5uFV7BeP3BEKBB4gXLZ4xtx
8EIQH5BUoAVDUPJ8hB7X5sibOjlzYL2byIuD0Hx1EignmaqlkF0e3wG5KQBPeg9E3sCeoijKQcJk
GXNLkyihSNvw4fg2Q1mXJ6dNJASGqQvY4vjwDw9GlFoIkUxSk/EFOLo1gIbMeFj/+IlA1kR9TNdJ
Dl99AwiR5wTJFqS5za57RIEymvqTD0QRKKPijIf4tnRwECib1JdsWgl0HMY1cHSzQFo/ubUkFgEx
IonxfmhoGnNTorJGPnmsd68iBTw1HFDnCMiTIzwfAjzj3QBZBEUEz4otbU/KceM5qjfBEnjsSYeB
RmMJz3chxzY+64MzQd6kzIIFvN0uxy88pllQgalOnAVV5+Tj0AOu/uqZwMkogJoiMPq+XR5XVKQQ
r009GTVxl+BQ0S77fpe7b4RNAwpUOKooR/cqUPeyp56J1JMtEydmugrjq3BwKFA9McW+A1R3/Pl/
K2N+TOukEogH10+TXba+IpRw/s52cDDCH2gD2kuooAI2ULfV1INNkaoBtVSiguej4egq6za1rb83
Caun2E9AxVaF/1ix93+HXIhzUSL4gVZ2cCSY3D0nAl3IcQUc3d0rqJxPPhIUqqiA5kUisPkcrAFa
jHQVJI7ObXjw33oPDh7gDuIERYmpa4DNgAhZSJS+uhnYZAkoOeqUk8dJOrosAdiJYFL9ne3gYCJ3
3gSyAFWoerHvbT4H0YGJuIelU3I3tkXGo1sKgv4xOVLkhbBtuHHqFmJ1kDFSRqWtADaDasI4TZtp
P6IYSaEPOKYwP54yahJvBIWj7XpHe/TF5mipFgQ2czsJY5XmiGYBJpMyNUjggBSEHfKCbenocC3g
aGWYNBcU4+jeBXRitcmrQJkTBBMdkBZtPgdBElkTCoEUkbbZ6RE9flIZaTywf/wloHZGLqRYhMmv
hsiWCk6P4IlW6/ez88gSBW0jJjzpWGAr0Dj6YCW+vggsKow4g5sqYLXNZ1x1R7QWiJOEZPLUWQCN
KdFQeL2QaNJvAJyBKtX4pgi83nGtBdmeDsrT5hSKaFg+B4MHEQKAA6CZ9JWAomyWwhiSHNVSIOGZ
uBTEqaAbBADPcdLBrohMN1gcAiVzW2A4vlmAyj+W+398c6SWxMYvtoXXoepov7F7Ung1RGJ1ZK8C
Fa4xYJlw/9JcBqBOerxNjA7qqgCyZMjcqlBYGD/HNgtsi+rUKpIKLA/WFg3EbU5wkD7KkjEHtcjO
KTjlR7YKZIpbE/cCxZrjPYrc8fO2f7gKyBwREMCu+VjbzCxSIbk86XBkRxRlMjwP/giEdmuJVFQ5
M6ilPRcZ/kH+/DcOj+88oIXnR08bBpC/Ll8jCv3ZLzwzX17+fMt6EdQWUXDb+0VBCBq/e6xGiD//
Zy+93jBzdn74zNTZfM/2n29v8OVX733X8109/+WFvy5WxaPXb37Qby9z9OH9n2j1bRWvdouFBC28
mX9cyb//tXedO8//LwY+kA4fmQ6Tx0XXMU32L3gTrUwfOETtalU+3/qGobSpF00d+U2lnT+3Lvn+
mr01zagkpMXqac9KeWwDT77qNEnWj5X/WFe7UzKiLKYOfrqOVu2qWO+OPJIgJo+8rdv+kv7+C5NT
x9/2BY7GMvDUbzlj1v2n/VU4HhFTRz5fp4W7f8nb/HTqyBfMuO/vzviWazB14D/18p64ti+jyE9S
f/+NHMOxyZecPPmrg11kPNwmj5y2+8tipHpOHfb65d40YuQnD8wAfybuPPH53aS1X76Y5hHIO/Wy
b1d+srd70IAURLrp4xZ9tEqenkfaHOYjpGL60GW5evTqcl1Ve2t6W36bPL7/6Pnuar/xN7Y/pw/N
WYCF2t7K3naWp49dlj7/Zdne3rQlwvyM0dO6OBxatMQnD50m1cEeoozJ8tSR3zJemfhO3q2b1f65
JfTKiLGnX3P7y8Uqzkr8pPZeTMYXkJyfMf7VuijX/fNYm1dzLNf9jMFv153/uBdHbZPenzH417QI
D65btGMnD50WWNYtVkXKSbn/co5Nvp/zBS898bbU9anDv/P8/Rkfa9CThw2jFeaW+xMCjOcnpDXv
irV7iK3Y8JOmXvP9OklKXIVXB4Kc2w7d1OE/eOnT+pfL8sXZNrIIpg7/sPFOfG0hbklsP+cLXi5E
MTzluanDf2T212W53tu51BFANn3sbj+r3HLep477qVp5z3cu9sJtF3PqsJ/XaE8neznfVqJh8sg+
mc3B8t6CdqcO/WXFuZO41f6rSUFV4CAnD74uq18+v3bxI2N98vh++Zgmpb8XuW2JLZPH7lPATO7z
JGzWyYh8eHvk1ypN38VjXtafnkVhXvtn+8U18RuP0XpV/Od/AQAA//8=</cx:binary>
              </cx:geoCache>
            </cx:geography>
          </cx:layoutPr>
          <cx:valueColors>
            <cx:maxColor>
              <a:schemeClr val="accent1">
                <a:lumMod val="50000"/>
              </a:schemeClr>
            </cx:maxColor>
          </cx:valueColors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/>
          </a:pPr>
          <a:endParaRPr lang="en-GB" sz="1000" b="0" i="0" u="none" strike="noStrike" baseline="0">
            <a:solidFill>
              <a:sysClr val="window" lastClr="FFFFFF">
                <a:lumMod val="95000"/>
              </a:sysClr>
            </a:solidFill>
            <a:latin typeface="Calibri"/>
          </a:endParaRPr>
        </a:p>
      </cx:txPr>
    </cx:legend>
  </cx:chart>
  <cx:spPr>
    <a:ln>
      <a:solidFill>
        <a:schemeClr val="accent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59069</xdr:rowOff>
    </xdr:from>
    <xdr:to>
      <xdr:col>9</xdr:col>
      <xdr:colOff>1041400</xdr:colOff>
      <xdr:row>22</xdr:row>
      <xdr:rowOff>134946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81B0E9-E7FE-7040-9572-C75A60401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1117600</xdr:colOff>
      <xdr:row>3</xdr:row>
      <xdr:rowOff>0</xdr:rowOff>
    </xdr:from>
    <xdr:to>
      <xdr:col>18</xdr:col>
      <xdr:colOff>0</xdr:colOff>
      <xdr:row>22</xdr:row>
      <xdr:rowOff>136406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2DC6EA-11C4-4841-BA33-E9C2E8B36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40638</xdr:rowOff>
    </xdr:from>
    <xdr:to>
      <xdr:col>5</xdr:col>
      <xdr:colOff>897156</xdr:colOff>
      <xdr:row>46</xdr:row>
      <xdr:rowOff>154680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EDB812-4773-5F4A-9CFB-EEBDFCBC0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186422</xdr:colOff>
      <xdr:row>24</xdr:row>
      <xdr:rowOff>48882</xdr:rowOff>
    </xdr:from>
    <xdr:to>
      <xdr:col>18</xdr:col>
      <xdr:colOff>1046</xdr:colOff>
      <xdr:row>46</xdr:row>
      <xdr:rowOff>153516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066576B-F32F-8E45-8128-F7447DBD36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52622" y="4697082"/>
              <a:ext cx="4958124" cy="42956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2</xdr:row>
      <xdr:rowOff>59069</xdr:rowOff>
    </xdr:from>
    <xdr:to>
      <xdr:col>24</xdr:col>
      <xdr:colOff>437117</xdr:colOff>
      <xdr:row>22</xdr:row>
      <xdr:rowOff>133685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A501865-8F0A-2C49-B642-A86D3CC5F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39148</xdr:colOff>
      <xdr:row>24</xdr:row>
      <xdr:rowOff>44432</xdr:rowOff>
    </xdr:from>
    <xdr:to>
      <xdr:col>24</xdr:col>
      <xdr:colOff>445549</xdr:colOff>
      <xdr:row>46</xdr:row>
      <xdr:rowOff>149087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D0D6F01-3069-3A4A-8E34-D1856008E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938342</xdr:colOff>
      <xdr:row>24</xdr:row>
      <xdr:rowOff>48703</xdr:rowOff>
    </xdr:from>
    <xdr:to>
      <xdr:col>12</xdr:col>
      <xdr:colOff>144884</xdr:colOff>
      <xdr:row>46</xdr:row>
      <xdr:rowOff>153515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2790454-D021-A74E-8CC6-3B23C2D01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C6DD-9C02-A64C-B2A5-EE6C65A50C54}">
  <dimension ref="A1:Y47"/>
  <sheetViews>
    <sheetView showGridLines="0" tabSelected="1" topLeftCell="D1" zoomScale="96" zoomScaleNormal="96" workbookViewId="0">
      <selection activeCell="AC18" sqref="AC18"/>
    </sheetView>
  </sheetViews>
  <sheetFormatPr baseColWidth="10" defaultRowHeight="15" x14ac:dyDescent="0.2"/>
  <cols>
    <col min="1" max="4" width="10.83203125" style="1"/>
    <col min="5" max="5" width="0.83203125" style="1" customWidth="1"/>
    <col min="6" max="6" width="15.5" style="1" bestFit="1" customWidth="1"/>
    <col min="7" max="8" width="10.83203125" style="1"/>
    <col min="9" max="9" width="0.83203125" style="1" customWidth="1"/>
    <col min="10" max="10" width="23.83203125" style="1" customWidth="1"/>
    <col min="11" max="11" width="10.83203125" style="1"/>
    <col min="12" max="12" width="0.83203125" style="1" customWidth="1"/>
    <col min="13" max="13" width="21.83203125" style="1" bestFit="1" customWidth="1"/>
    <col min="14" max="14" width="10.83203125" style="1"/>
    <col min="15" max="15" width="0.1640625" style="1" customWidth="1"/>
    <col min="16" max="16" width="13" style="1" bestFit="1" customWidth="1"/>
    <col min="17" max="18" width="10.83203125" style="1"/>
    <col min="19" max="19" width="0.6640625" style="1" customWidth="1"/>
    <col min="20" max="24" width="10.83203125" style="1"/>
    <col min="25" max="25" width="5.6640625" style="1" customWidth="1"/>
    <col min="26" max="16384" width="10.83203125" style="1"/>
  </cols>
  <sheetData>
    <row r="1" spans="1:25" ht="31" customHeight="1" x14ac:dyDescent="0.3">
      <c r="A1" s="12" t="s">
        <v>113</v>
      </c>
      <c r="B1" s="13"/>
      <c r="C1" s="13"/>
      <c r="D1" s="13"/>
      <c r="E1" s="13"/>
      <c r="F1" s="14"/>
      <c r="G1" s="15" t="s">
        <v>112</v>
      </c>
      <c r="H1" s="16"/>
      <c r="I1" s="16"/>
      <c r="J1" s="17"/>
      <c r="K1" s="15" t="s">
        <v>116</v>
      </c>
      <c r="L1" s="16"/>
      <c r="M1" s="16"/>
      <c r="N1" s="17"/>
      <c r="O1" s="18"/>
      <c r="P1" s="15" t="s">
        <v>115</v>
      </c>
      <c r="Q1" s="16"/>
      <c r="R1" s="16"/>
      <c r="S1" s="16"/>
      <c r="T1" s="17"/>
      <c r="U1" s="15" t="s">
        <v>114</v>
      </c>
      <c r="V1" s="16"/>
      <c r="W1" s="16"/>
      <c r="X1" s="16"/>
      <c r="Y1" s="19"/>
    </row>
    <row r="2" spans="1:25" ht="29" customHeight="1" x14ac:dyDescent="0.35">
      <c r="A2" s="20"/>
      <c r="B2" s="2"/>
      <c r="C2" s="2"/>
      <c r="D2" s="2"/>
      <c r="E2" s="2"/>
      <c r="F2" s="3"/>
      <c r="G2" s="9">
        <f>Top_KPIs!A2</f>
        <v>1345310</v>
      </c>
      <c r="H2" s="10"/>
      <c r="I2" s="10"/>
      <c r="J2" s="11"/>
      <c r="K2" s="6">
        <f>Top_KPIs!B2</f>
        <v>19399332550</v>
      </c>
      <c r="L2" s="7"/>
      <c r="M2" s="7"/>
      <c r="N2" s="8"/>
      <c r="O2" s="21"/>
      <c r="P2" s="6">
        <f>Top_KPIs!C2</f>
        <v>4180135725</v>
      </c>
      <c r="Q2" s="7"/>
      <c r="R2" s="7"/>
      <c r="S2" s="7"/>
      <c r="T2" s="8"/>
      <c r="U2" s="4">
        <f>Top_KPIs!D2</f>
        <v>0.1996</v>
      </c>
      <c r="V2" s="5"/>
      <c r="W2" s="5"/>
      <c r="X2" s="5"/>
      <c r="Y2" s="22"/>
    </row>
    <row r="3" spans="1:25" ht="5" customHeight="1" x14ac:dyDescent="0.2">
      <c r="A3" s="23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4"/>
    </row>
    <row r="4" spans="1:25" x14ac:dyDescent="0.2">
      <c r="A4" s="25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4"/>
    </row>
    <row r="5" spans="1:25" x14ac:dyDescent="0.2">
      <c r="A5" s="23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4"/>
    </row>
    <row r="6" spans="1:25" x14ac:dyDescent="0.2">
      <c r="A6" s="23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4"/>
    </row>
    <row r="7" spans="1:25" x14ac:dyDescent="0.2">
      <c r="A7" s="23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4"/>
    </row>
    <row r="8" spans="1:25" x14ac:dyDescent="0.2">
      <c r="A8" s="23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4"/>
    </row>
    <row r="9" spans="1:25" x14ac:dyDescent="0.2">
      <c r="A9" s="23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4"/>
    </row>
    <row r="10" spans="1:25" x14ac:dyDescent="0.2">
      <c r="A10" s="23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4"/>
    </row>
    <row r="11" spans="1:25" x14ac:dyDescent="0.2">
      <c r="A11" s="23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4"/>
    </row>
    <row r="12" spans="1:25" x14ac:dyDescent="0.2">
      <c r="A12" s="23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4"/>
    </row>
    <row r="13" spans="1:25" x14ac:dyDescent="0.2">
      <c r="A13" s="23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4"/>
    </row>
    <row r="14" spans="1:25" x14ac:dyDescent="0.2">
      <c r="A14" s="23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4"/>
    </row>
    <row r="15" spans="1:25" x14ac:dyDescent="0.2">
      <c r="A15" s="23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4"/>
    </row>
    <row r="16" spans="1:25" x14ac:dyDescent="0.2">
      <c r="A16" s="23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4"/>
    </row>
    <row r="17" spans="1:25" x14ac:dyDescent="0.2">
      <c r="A17" s="23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4"/>
    </row>
    <row r="18" spans="1:25" x14ac:dyDescent="0.2">
      <c r="A18" s="2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4"/>
    </row>
    <row r="19" spans="1:25" x14ac:dyDescent="0.2">
      <c r="A19" s="2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4"/>
    </row>
    <row r="20" spans="1:25" x14ac:dyDescent="0.2">
      <c r="A20" s="23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4"/>
    </row>
    <row r="21" spans="1:25" x14ac:dyDescent="0.2">
      <c r="A21" s="23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4"/>
    </row>
    <row r="22" spans="1:25" x14ac:dyDescent="0.2">
      <c r="A22" s="23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4"/>
    </row>
    <row r="23" spans="1:25" x14ac:dyDescent="0.2">
      <c r="A23" s="23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4"/>
    </row>
    <row r="24" spans="1:25" ht="1" customHeight="1" x14ac:dyDescent="0.2">
      <c r="A24" s="23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4"/>
    </row>
    <row r="25" spans="1:25" x14ac:dyDescent="0.2">
      <c r="A25" s="23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4"/>
    </row>
    <row r="26" spans="1:25" x14ac:dyDescent="0.2">
      <c r="A26" s="23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4"/>
    </row>
    <row r="27" spans="1:25" x14ac:dyDescent="0.2">
      <c r="A27" s="23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4"/>
    </row>
    <row r="28" spans="1:25" x14ac:dyDescent="0.2">
      <c r="A28" s="23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4"/>
    </row>
    <row r="29" spans="1:25" x14ac:dyDescent="0.2">
      <c r="A29" s="23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4"/>
    </row>
    <row r="30" spans="1:25" x14ac:dyDescent="0.2">
      <c r="A30" s="23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4"/>
    </row>
    <row r="31" spans="1:25" x14ac:dyDescent="0.2">
      <c r="A31" s="23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4"/>
    </row>
    <row r="32" spans="1:25" x14ac:dyDescent="0.2">
      <c r="A32" s="23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4"/>
    </row>
    <row r="33" spans="1:25" x14ac:dyDescent="0.2">
      <c r="A33" s="23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4"/>
    </row>
    <row r="34" spans="1:25" x14ac:dyDescent="0.2">
      <c r="A34" s="23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4"/>
    </row>
    <row r="35" spans="1:25" x14ac:dyDescent="0.2">
      <c r="A35" s="23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4"/>
    </row>
    <row r="36" spans="1:25" x14ac:dyDescent="0.2">
      <c r="A36" s="23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4"/>
    </row>
    <row r="37" spans="1:25" x14ac:dyDescent="0.2">
      <c r="A37" s="23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4"/>
    </row>
    <row r="38" spans="1:25" x14ac:dyDescent="0.2">
      <c r="A38" s="23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4"/>
    </row>
    <row r="39" spans="1:25" x14ac:dyDescent="0.2">
      <c r="A39" s="23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4"/>
    </row>
    <row r="40" spans="1:25" x14ac:dyDescent="0.2">
      <c r="A40" s="23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4"/>
    </row>
    <row r="41" spans="1:25" x14ac:dyDescent="0.2">
      <c r="A41" s="23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4"/>
    </row>
    <row r="42" spans="1:25" x14ac:dyDescent="0.2">
      <c r="A42" s="23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4"/>
    </row>
    <row r="43" spans="1:25" x14ac:dyDescent="0.2">
      <c r="A43" s="23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4"/>
    </row>
    <row r="44" spans="1:25" x14ac:dyDescent="0.2">
      <c r="A44" s="23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4"/>
    </row>
    <row r="45" spans="1:25" x14ac:dyDescent="0.2">
      <c r="A45" s="23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4"/>
    </row>
    <row r="46" spans="1:25" x14ac:dyDescent="0.2">
      <c r="A46" s="23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4"/>
    </row>
    <row r="47" spans="1:25" x14ac:dyDescent="0.2">
      <c r="A47" s="26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8"/>
    </row>
  </sheetData>
  <mergeCells count="9">
    <mergeCell ref="A1:F2"/>
    <mergeCell ref="U1:Y1"/>
    <mergeCell ref="U2:Y2"/>
    <mergeCell ref="K1:N1"/>
    <mergeCell ref="K2:N2"/>
    <mergeCell ref="G2:J2"/>
    <mergeCell ref="G1:J1"/>
    <mergeCell ref="P2:T2"/>
    <mergeCell ref="P1:T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13.5" bestFit="1" customWidth="1"/>
    <col min="2" max="2" width="15.83203125" bestFit="1" customWidth="1"/>
    <col min="3" max="3" width="13" bestFit="1" customWidth="1"/>
    <col min="4" max="4" width="16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1345310</v>
      </c>
      <c r="B2">
        <v>19399332550</v>
      </c>
      <c r="C2">
        <v>4180135725</v>
      </c>
      <c r="D2">
        <f>19.96/100</f>
        <v>0.1996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E1" activeCellId="1" sqref="A1:A8 E1:E8"/>
    </sheetView>
  </sheetViews>
  <sheetFormatPr baseColWidth="10" defaultColWidth="8.83203125" defaultRowHeight="15" x14ac:dyDescent="0.2"/>
  <sheetData>
    <row r="1" spans="1: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9</v>
      </c>
      <c r="B2">
        <v>235090</v>
      </c>
      <c r="C2">
        <v>3265952675</v>
      </c>
      <c r="D2">
        <v>173872221.31</v>
      </c>
      <c r="E2">
        <v>5.32</v>
      </c>
    </row>
    <row r="3" spans="1:5" x14ac:dyDescent="0.2">
      <c r="A3" t="s">
        <v>10</v>
      </c>
      <c r="B3">
        <v>392741</v>
      </c>
      <c r="C3">
        <v>5198961950</v>
      </c>
      <c r="D3">
        <v>270273347.81999999</v>
      </c>
      <c r="E3">
        <v>5.2</v>
      </c>
    </row>
    <row r="4" spans="1:5" x14ac:dyDescent="0.2">
      <c r="A4" t="s">
        <v>11</v>
      </c>
      <c r="B4">
        <v>381686</v>
      </c>
      <c r="C4">
        <v>5415526025</v>
      </c>
      <c r="D4">
        <v>147873090.09999999</v>
      </c>
      <c r="E4">
        <v>2.73</v>
      </c>
    </row>
    <row r="5" spans="1:5" x14ac:dyDescent="0.2">
      <c r="A5" t="s">
        <v>12</v>
      </c>
      <c r="B5">
        <v>200953</v>
      </c>
      <c r="C5">
        <v>3069035800</v>
      </c>
      <c r="D5">
        <v>15054009.07</v>
      </c>
      <c r="E5">
        <v>0.49</v>
      </c>
    </row>
    <row r="6" spans="1:5" x14ac:dyDescent="0.2">
      <c r="A6" t="s">
        <v>13</v>
      </c>
      <c r="B6">
        <v>93650</v>
      </c>
      <c r="C6">
        <v>1649930100</v>
      </c>
      <c r="D6">
        <v>-22554368.710000001</v>
      </c>
      <c r="E6">
        <v>-1.37</v>
      </c>
    </row>
    <row r="7" spans="1:5" x14ac:dyDescent="0.2">
      <c r="A7" t="s">
        <v>14</v>
      </c>
      <c r="B7">
        <v>32058</v>
      </c>
      <c r="C7">
        <v>611909025</v>
      </c>
      <c r="D7">
        <v>-24674887.920000002</v>
      </c>
      <c r="E7">
        <v>-4.03</v>
      </c>
    </row>
    <row r="8" spans="1:5" x14ac:dyDescent="0.2">
      <c r="A8" t="s">
        <v>15</v>
      </c>
      <c r="B8">
        <v>9132</v>
      </c>
      <c r="C8">
        <v>188016975</v>
      </c>
      <c r="D8">
        <v>-16483551.91</v>
      </c>
      <c r="E8">
        <v>-8.77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E1" sqref="E1"/>
    </sheetView>
  </sheetViews>
  <sheetFormatPr baseColWidth="10" defaultColWidth="8.83203125" defaultRowHeight="15" x14ac:dyDescent="0.2"/>
  <cols>
    <col min="1" max="1" width="5.33203125" bestFit="1" customWidth="1"/>
    <col min="2" max="2" width="11.6640625" bestFit="1" customWidth="1"/>
    <col min="3" max="3" width="14.6640625" bestFit="1" customWidth="1"/>
    <col min="4" max="4" width="16" bestFit="1" customWidth="1"/>
    <col min="5" max="5" width="20.83203125" bestFit="1" customWidth="1"/>
  </cols>
  <sheetData>
    <row r="1" spans="1:5" x14ac:dyDescent="0.2">
      <c r="A1" t="s">
        <v>4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">
      <c r="A2" t="s">
        <v>9</v>
      </c>
      <c r="B2">
        <v>14201</v>
      </c>
      <c r="C2">
        <v>13738.86</v>
      </c>
      <c r="D2">
        <v>44.89</v>
      </c>
      <c r="E2">
        <v>5.97</v>
      </c>
    </row>
    <row r="3" spans="1:5" x14ac:dyDescent="0.2">
      <c r="A3" t="s">
        <v>10</v>
      </c>
      <c r="B3">
        <v>52569</v>
      </c>
      <c r="C3">
        <v>13558.43</v>
      </c>
      <c r="D3">
        <v>44.66</v>
      </c>
      <c r="E3">
        <v>6.59</v>
      </c>
    </row>
    <row r="4" spans="1:5" x14ac:dyDescent="0.2">
      <c r="A4" t="s">
        <v>11</v>
      </c>
      <c r="B4">
        <v>85649</v>
      </c>
      <c r="C4">
        <v>14750.25</v>
      </c>
      <c r="D4">
        <v>46.23</v>
      </c>
      <c r="E4">
        <v>7.31</v>
      </c>
    </row>
    <row r="5" spans="1:5" x14ac:dyDescent="0.2">
      <c r="A5" t="s">
        <v>12</v>
      </c>
      <c r="B5">
        <v>61054</v>
      </c>
      <c r="C5">
        <v>16010.79</v>
      </c>
      <c r="D5">
        <v>46.3</v>
      </c>
      <c r="E5">
        <v>7.8</v>
      </c>
    </row>
    <row r="6" spans="1:5" x14ac:dyDescent="0.2">
      <c r="A6" t="s">
        <v>13</v>
      </c>
      <c r="B6">
        <v>36035</v>
      </c>
      <c r="C6">
        <v>18153.09</v>
      </c>
      <c r="D6">
        <v>45.87</v>
      </c>
      <c r="E6">
        <v>8.6199999999999992</v>
      </c>
    </row>
    <row r="7" spans="1:5" x14ac:dyDescent="0.2">
      <c r="A7" t="s">
        <v>14</v>
      </c>
      <c r="B7">
        <v>14491</v>
      </c>
      <c r="C7">
        <v>19584.86</v>
      </c>
      <c r="D7">
        <v>46.06</v>
      </c>
      <c r="E7">
        <v>9.32</v>
      </c>
    </row>
    <row r="8" spans="1:5" x14ac:dyDescent="0.2">
      <c r="A8" t="s">
        <v>15</v>
      </c>
      <c r="B8">
        <v>4560</v>
      </c>
      <c r="C8">
        <v>20495.47</v>
      </c>
      <c r="D8">
        <v>49.88</v>
      </c>
      <c r="E8">
        <v>9.69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20</v>
      </c>
      <c r="B1" t="s">
        <v>21</v>
      </c>
      <c r="C1" t="s">
        <v>22</v>
      </c>
      <c r="D1" t="s">
        <v>23</v>
      </c>
    </row>
    <row r="2" spans="1:4" x14ac:dyDescent="0.2">
      <c r="A2" t="s">
        <v>24</v>
      </c>
      <c r="B2" t="s">
        <v>25</v>
      </c>
      <c r="C2">
        <v>56570</v>
      </c>
      <c r="D2">
        <v>7.89</v>
      </c>
    </row>
    <row r="3" spans="1:4" x14ac:dyDescent="0.2">
      <c r="A3" t="s">
        <v>24</v>
      </c>
      <c r="B3" t="s">
        <v>26</v>
      </c>
      <c r="C3">
        <v>34995</v>
      </c>
      <c r="D3">
        <v>8.67</v>
      </c>
    </row>
    <row r="4" spans="1:4" x14ac:dyDescent="0.2">
      <c r="A4" t="s">
        <v>24</v>
      </c>
      <c r="B4" t="s">
        <v>27</v>
      </c>
      <c r="C4">
        <v>14984</v>
      </c>
      <c r="D4">
        <v>13.12</v>
      </c>
    </row>
    <row r="5" spans="1:4" x14ac:dyDescent="0.2">
      <c r="A5" t="s">
        <v>28</v>
      </c>
      <c r="B5" t="s">
        <v>25</v>
      </c>
      <c r="C5">
        <v>156060</v>
      </c>
      <c r="D5">
        <v>12.62</v>
      </c>
    </row>
    <row r="6" spans="1:4" x14ac:dyDescent="0.2">
      <c r="A6" t="s">
        <v>28</v>
      </c>
      <c r="B6" t="s">
        <v>26</v>
      </c>
      <c r="C6">
        <v>167291</v>
      </c>
      <c r="D6">
        <v>15.42</v>
      </c>
    </row>
    <row r="7" spans="1:4" x14ac:dyDescent="0.2">
      <c r="A7" t="s">
        <v>28</v>
      </c>
      <c r="B7" t="s">
        <v>27</v>
      </c>
      <c r="C7">
        <v>94407</v>
      </c>
      <c r="D7">
        <v>21.11</v>
      </c>
    </row>
    <row r="8" spans="1:4" x14ac:dyDescent="0.2">
      <c r="A8" t="s">
        <v>29</v>
      </c>
      <c r="B8" t="s">
        <v>25</v>
      </c>
      <c r="C8">
        <v>305993</v>
      </c>
      <c r="D8">
        <v>18.850000000000001</v>
      </c>
    </row>
    <row r="9" spans="1:4" x14ac:dyDescent="0.2">
      <c r="A9" t="s">
        <v>29</v>
      </c>
      <c r="B9" t="s">
        <v>26</v>
      </c>
      <c r="C9">
        <v>328365</v>
      </c>
      <c r="D9">
        <v>23.96</v>
      </c>
    </row>
    <row r="10" spans="1:4" x14ac:dyDescent="0.2">
      <c r="A10" t="s">
        <v>29</v>
      </c>
      <c r="B10" t="s">
        <v>27</v>
      </c>
      <c r="C10">
        <v>186269</v>
      </c>
      <c r="D10">
        <v>30.73</v>
      </c>
    </row>
    <row r="11" spans="1:4" x14ac:dyDescent="0.2">
      <c r="A11" t="s">
        <v>30</v>
      </c>
      <c r="B11" t="s">
        <v>25</v>
      </c>
      <c r="C11">
        <v>2</v>
      </c>
      <c r="D1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C6" sqref="C6"/>
    </sheetView>
  </sheetViews>
  <sheetFormatPr baseColWidth="10" defaultColWidth="8.83203125" defaultRowHeight="15" x14ac:dyDescent="0.2"/>
  <sheetData>
    <row r="1" spans="1:3" x14ac:dyDescent="0.2">
      <c r="A1" t="s">
        <v>31</v>
      </c>
      <c r="B1" t="s">
        <v>22</v>
      </c>
      <c r="C1" t="s">
        <v>23</v>
      </c>
    </row>
    <row r="2" spans="1:3" x14ac:dyDescent="0.2">
      <c r="A2" t="s">
        <v>32</v>
      </c>
      <c r="B2">
        <v>281522</v>
      </c>
      <c r="C2">
        <v>0.1588</v>
      </c>
    </row>
    <row r="3" spans="1:3" x14ac:dyDescent="0.2">
      <c r="A3" t="s">
        <v>33</v>
      </c>
      <c r="B3">
        <v>540059</v>
      </c>
      <c r="C3">
        <v>0.19950000000000001</v>
      </c>
    </row>
    <row r="4" spans="1:3" x14ac:dyDescent="0.2">
      <c r="A4" t="s">
        <v>34</v>
      </c>
      <c r="B4">
        <v>442451</v>
      </c>
      <c r="C4">
        <v>0.21959999999999999</v>
      </c>
    </row>
    <row r="5" spans="1:3" x14ac:dyDescent="0.2">
      <c r="A5" t="s">
        <v>35</v>
      </c>
      <c r="B5">
        <v>80421</v>
      </c>
      <c r="C5">
        <v>0.23319999999999999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t="s">
        <v>36</v>
      </c>
      <c r="B1" t="s">
        <v>22</v>
      </c>
      <c r="C1" t="s">
        <v>16</v>
      </c>
      <c r="D1" t="s">
        <v>23</v>
      </c>
    </row>
    <row r="2" spans="1:4" x14ac:dyDescent="0.2">
      <c r="A2" t="s">
        <v>37</v>
      </c>
      <c r="B2">
        <v>1020743</v>
      </c>
      <c r="C2">
        <v>163252</v>
      </c>
      <c r="D2">
        <v>15.99</v>
      </c>
    </row>
    <row r="3" spans="1:4" x14ac:dyDescent="0.2">
      <c r="A3" t="s">
        <v>38</v>
      </c>
      <c r="B3">
        <v>324567</v>
      </c>
      <c r="C3">
        <v>105307</v>
      </c>
      <c r="D3">
        <v>32.450000000000003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E35" sqref="E35"/>
    </sheetView>
  </sheetViews>
  <sheetFormatPr baseColWidth="10" defaultColWidth="8.83203125" defaultRowHeight="15" x14ac:dyDescent="0.2"/>
  <cols>
    <col min="1" max="1" width="18.5" bestFit="1" customWidth="1"/>
    <col min="2" max="2" width="9.6640625" bestFit="1" customWidth="1"/>
    <col min="3" max="3" width="10.33203125" bestFit="1" customWidth="1"/>
  </cols>
  <sheetData>
    <row r="1" spans="1:3" x14ac:dyDescent="0.2">
      <c r="A1" t="s">
        <v>39</v>
      </c>
      <c r="B1" t="s">
        <v>22</v>
      </c>
      <c r="C1" t="s">
        <v>23</v>
      </c>
    </row>
    <row r="2" spans="1:3" x14ac:dyDescent="0.2">
      <c r="A2" t="s">
        <v>40</v>
      </c>
      <c r="B2">
        <v>196555</v>
      </c>
      <c r="C2">
        <v>20.54</v>
      </c>
    </row>
    <row r="3" spans="1:3" x14ac:dyDescent="0.2">
      <c r="A3" t="s">
        <v>41</v>
      </c>
      <c r="B3">
        <v>394050</v>
      </c>
      <c r="C3">
        <v>19.79</v>
      </c>
    </row>
    <row r="4" spans="1:3" x14ac:dyDescent="0.2">
      <c r="A4" t="s">
        <v>42</v>
      </c>
      <c r="B4">
        <v>233995</v>
      </c>
      <c r="C4">
        <v>19.66</v>
      </c>
    </row>
    <row r="5" spans="1:3" x14ac:dyDescent="0.2">
      <c r="A5" t="s">
        <v>43</v>
      </c>
      <c r="B5">
        <v>442199</v>
      </c>
      <c r="C5">
        <v>18.78</v>
      </c>
    </row>
    <row r="6" spans="1:3" x14ac:dyDescent="0.2">
      <c r="A6" t="s">
        <v>44</v>
      </c>
      <c r="B6">
        <v>78511</v>
      </c>
      <c r="C6">
        <v>26.91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activeCell="F32" sqref="F32"/>
    </sheetView>
  </sheetViews>
  <sheetFormatPr baseColWidth="10" defaultColWidth="8.83203125" defaultRowHeight="15" x14ac:dyDescent="0.2"/>
  <sheetData>
    <row r="1" spans="1:3" x14ac:dyDescent="0.2">
      <c r="A1" t="s">
        <v>45</v>
      </c>
      <c r="B1" t="s">
        <v>22</v>
      </c>
      <c r="C1" t="s">
        <v>23</v>
      </c>
    </row>
    <row r="2" spans="1:3" x14ac:dyDescent="0.2">
      <c r="A2" t="s">
        <v>46</v>
      </c>
      <c r="B2">
        <v>780321</v>
      </c>
      <c r="C2">
        <v>21.15</v>
      </c>
    </row>
    <row r="3" spans="1:3" x14ac:dyDescent="0.2">
      <c r="A3" t="s">
        <v>47</v>
      </c>
      <c r="B3">
        <v>295279</v>
      </c>
      <c r="C3">
        <v>16.93</v>
      </c>
    </row>
    <row r="4" spans="1:3" x14ac:dyDescent="0.2">
      <c r="A4" t="s">
        <v>48</v>
      </c>
      <c r="B4">
        <v>87504</v>
      </c>
      <c r="C4">
        <v>17.72</v>
      </c>
    </row>
    <row r="5" spans="1:3" x14ac:dyDescent="0.2">
      <c r="A5" t="s">
        <v>49</v>
      </c>
      <c r="B5">
        <v>77875</v>
      </c>
      <c r="C5">
        <v>21.04</v>
      </c>
    </row>
    <row r="6" spans="1:3" x14ac:dyDescent="0.2">
      <c r="A6" t="s">
        <v>50</v>
      </c>
      <c r="B6">
        <v>29425</v>
      </c>
      <c r="C6">
        <v>18.600000000000001</v>
      </c>
    </row>
    <row r="7" spans="1:3" x14ac:dyDescent="0.2">
      <c r="A7" t="s">
        <v>51</v>
      </c>
      <c r="B7">
        <v>15554</v>
      </c>
      <c r="C7">
        <v>21.78</v>
      </c>
    </row>
    <row r="8" spans="1:3" x14ac:dyDescent="0.2">
      <c r="A8" t="s">
        <v>52</v>
      </c>
      <c r="B8">
        <v>15416</v>
      </c>
      <c r="C8">
        <v>29.71</v>
      </c>
    </row>
    <row r="9" spans="1:3" x14ac:dyDescent="0.2">
      <c r="A9" t="s">
        <v>53</v>
      </c>
      <c r="B9">
        <v>14585</v>
      </c>
      <c r="C9">
        <v>14.68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selection activeCell="E37" sqref="E37"/>
    </sheetView>
  </sheetViews>
  <sheetFormatPr baseColWidth="10" defaultColWidth="8.83203125" defaultRowHeight="15" x14ac:dyDescent="0.2"/>
  <cols>
    <col min="1" max="1" width="14.6640625" bestFit="1" customWidth="1"/>
    <col min="2" max="2" width="13" bestFit="1" customWidth="1"/>
    <col min="3" max="3" width="10.33203125" bestFit="1" customWidth="1"/>
  </cols>
  <sheetData>
    <row r="1" spans="1:3" x14ac:dyDescent="0.2">
      <c r="A1" t="s">
        <v>54</v>
      </c>
      <c r="B1" t="s">
        <v>2</v>
      </c>
      <c r="C1" t="s">
        <v>23</v>
      </c>
    </row>
    <row r="2" spans="1:3" x14ac:dyDescent="0.2">
      <c r="A2" t="s">
        <v>55</v>
      </c>
      <c r="B2">
        <v>332291100</v>
      </c>
      <c r="C2">
        <v>16.059999999999999</v>
      </c>
    </row>
    <row r="3" spans="1:3" x14ac:dyDescent="0.2">
      <c r="A3" t="s">
        <v>56</v>
      </c>
      <c r="B3">
        <v>1246815900</v>
      </c>
      <c r="C3">
        <v>20.100000000000001</v>
      </c>
    </row>
    <row r="4" spans="1:3" x14ac:dyDescent="0.2">
      <c r="A4" t="s">
        <v>57</v>
      </c>
      <c r="B4">
        <v>1182306650</v>
      </c>
      <c r="C4">
        <v>22.85</v>
      </c>
    </row>
    <row r="5" spans="1:3" x14ac:dyDescent="0.2">
      <c r="A5" t="s">
        <v>58</v>
      </c>
      <c r="B5">
        <v>826534125</v>
      </c>
      <c r="C5">
        <v>23</v>
      </c>
    </row>
    <row r="6" spans="1:3" x14ac:dyDescent="0.2">
      <c r="A6" t="s">
        <v>59</v>
      </c>
      <c r="B6">
        <v>592187950</v>
      </c>
      <c r="C6">
        <v>24.11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2"/>
  <sheetViews>
    <sheetView workbookViewId="0">
      <selection activeCell="F36" sqref="F36"/>
    </sheetView>
  </sheetViews>
  <sheetFormatPr baseColWidth="10" defaultColWidth="8.83203125" defaultRowHeight="15" x14ac:dyDescent="0.2"/>
  <cols>
    <col min="2" max="2" width="15.33203125" customWidth="1"/>
  </cols>
  <sheetData>
    <row r="1" spans="1:3" x14ac:dyDescent="0.2">
      <c r="A1" t="s">
        <v>60</v>
      </c>
      <c r="B1" t="s">
        <v>2</v>
      </c>
      <c r="C1" t="s">
        <v>23</v>
      </c>
    </row>
    <row r="2" spans="1:3" x14ac:dyDescent="0.2">
      <c r="A2" t="s">
        <v>61</v>
      </c>
      <c r="B2">
        <v>605259575</v>
      </c>
      <c r="C2">
        <v>19.61</v>
      </c>
    </row>
    <row r="3" spans="1:3" x14ac:dyDescent="0.2">
      <c r="A3" t="s">
        <v>62</v>
      </c>
      <c r="B3">
        <v>376835350</v>
      </c>
      <c r="C3">
        <v>22.04</v>
      </c>
    </row>
    <row r="4" spans="1:3" x14ac:dyDescent="0.2">
      <c r="A4" t="s">
        <v>63</v>
      </c>
      <c r="B4">
        <v>360998350</v>
      </c>
      <c r="C4">
        <v>19.82</v>
      </c>
    </row>
    <row r="5" spans="1:3" x14ac:dyDescent="0.2">
      <c r="A5" t="s">
        <v>64</v>
      </c>
      <c r="B5">
        <v>303690775</v>
      </c>
      <c r="C5">
        <v>21.47</v>
      </c>
    </row>
    <row r="6" spans="1:3" x14ac:dyDescent="0.2">
      <c r="A6" t="s">
        <v>65</v>
      </c>
      <c r="B6">
        <v>168507025</v>
      </c>
      <c r="C6">
        <v>21.12</v>
      </c>
    </row>
    <row r="7" spans="1:3" x14ac:dyDescent="0.2">
      <c r="A7" t="s">
        <v>66</v>
      </c>
      <c r="B7">
        <v>148432300</v>
      </c>
      <c r="C7">
        <v>18.100000000000001</v>
      </c>
    </row>
    <row r="8" spans="1:3" x14ac:dyDescent="0.2">
      <c r="A8" t="s">
        <v>67</v>
      </c>
      <c r="B8">
        <v>146296475</v>
      </c>
      <c r="C8">
        <v>20.79</v>
      </c>
    </row>
    <row r="9" spans="1:3" x14ac:dyDescent="0.2">
      <c r="A9" t="s">
        <v>68</v>
      </c>
      <c r="B9">
        <v>132124425</v>
      </c>
      <c r="C9">
        <v>20.53</v>
      </c>
    </row>
    <row r="10" spans="1:3" x14ac:dyDescent="0.2">
      <c r="A10" t="s">
        <v>69</v>
      </c>
      <c r="B10">
        <v>127050200</v>
      </c>
      <c r="C10">
        <v>18.39</v>
      </c>
    </row>
    <row r="11" spans="1:3" x14ac:dyDescent="0.2">
      <c r="A11" t="s">
        <v>70</v>
      </c>
      <c r="B11">
        <v>123732300</v>
      </c>
      <c r="C11">
        <v>19.940000000000001</v>
      </c>
    </row>
    <row r="12" spans="1:3" x14ac:dyDescent="0.2">
      <c r="A12" t="s">
        <v>71</v>
      </c>
      <c r="B12">
        <v>122439100</v>
      </c>
      <c r="C12">
        <v>20.78</v>
      </c>
    </row>
    <row r="13" spans="1:3" x14ac:dyDescent="0.2">
      <c r="A13" t="s">
        <v>72</v>
      </c>
      <c r="B13">
        <v>108563850</v>
      </c>
      <c r="C13">
        <v>21.31</v>
      </c>
    </row>
    <row r="14" spans="1:3" x14ac:dyDescent="0.2">
      <c r="A14" t="s">
        <v>73</v>
      </c>
      <c r="B14">
        <v>106338800</v>
      </c>
      <c r="C14">
        <v>20.3</v>
      </c>
    </row>
    <row r="15" spans="1:3" x14ac:dyDescent="0.2">
      <c r="A15" t="s">
        <v>74</v>
      </c>
      <c r="B15">
        <v>96897200</v>
      </c>
      <c r="C15">
        <v>19.63</v>
      </c>
    </row>
    <row r="16" spans="1:3" x14ac:dyDescent="0.2">
      <c r="A16" t="s">
        <v>75</v>
      </c>
      <c r="B16">
        <v>94361200</v>
      </c>
      <c r="C16">
        <v>19.05</v>
      </c>
    </row>
    <row r="17" spans="1:3" x14ac:dyDescent="0.2">
      <c r="A17" t="s">
        <v>76</v>
      </c>
      <c r="B17">
        <v>72254750</v>
      </c>
      <c r="C17">
        <v>19.739999999999998</v>
      </c>
    </row>
    <row r="18" spans="1:3" x14ac:dyDescent="0.2">
      <c r="A18" t="s">
        <v>77</v>
      </c>
      <c r="B18">
        <v>71653475</v>
      </c>
      <c r="C18">
        <v>15.76</v>
      </c>
    </row>
    <row r="19" spans="1:3" x14ac:dyDescent="0.2">
      <c r="A19" t="s">
        <v>78</v>
      </c>
      <c r="B19">
        <v>71528125</v>
      </c>
      <c r="C19">
        <v>15.53</v>
      </c>
    </row>
    <row r="20" spans="1:3" x14ac:dyDescent="0.2">
      <c r="A20" t="s">
        <v>79</v>
      </c>
      <c r="B20">
        <v>70707925</v>
      </c>
      <c r="C20">
        <v>21.41</v>
      </c>
    </row>
    <row r="21" spans="1:3" x14ac:dyDescent="0.2">
      <c r="A21" t="s">
        <v>80</v>
      </c>
      <c r="B21">
        <v>67760325</v>
      </c>
      <c r="C21">
        <v>21.29</v>
      </c>
    </row>
    <row r="22" spans="1:3" x14ac:dyDescent="0.2">
      <c r="A22" t="s">
        <v>81</v>
      </c>
      <c r="B22">
        <v>64616975</v>
      </c>
      <c r="C22">
        <v>21.41</v>
      </c>
    </row>
    <row r="23" spans="1:3" x14ac:dyDescent="0.2">
      <c r="A23" t="s">
        <v>82</v>
      </c>
      <c r="B23">
        <v>64222650</v>
      </c>
      <c r="C23">
        <v>21.92</v>
      </c>
    </row>
    <row r="24" spans="1:3" x14ac:dyDescent="0.2">
      <c r="A24" t="s">
        <v>83</v>
      </c>
      <c r="B24">
        <v>59195875</v>
      </c>
      <c r="C24">
        <v>23.63</v>
      </c>
    </row>
    <row r="25" spans="1:3" x14ac:dyDescent="0.2">
      <c r="A25" t="s">
        <v>84</v>
      </c>
      <c r="B25">
        <v>57154850</v>
      </c>
      <c r="C25">
        <v>23.18</v>
      </c>
    </row>
    <row r="26" spans="1:3" x14ac:dyDescent="0.2">
      <c r="A26" t="s">
        <v>85</v>
      </c>
      <c r="B26">
        <v>55818750</v>
      </c>
      <c r="C26">
        <v>17.38</v>
      </c>
    </row>
    <row r="27" spans="1:3" x14ac:dyDescent="0.2">
      <c r="A27" t="s">
        <v>86</v>
      </c>
      <c r="B27">
        <v>47989350</v>
      </c>
      <c r="C27">
        <v>18.350000000000001</v>
      </c>
    </row>
    <row r="28" spans="1:3" x14ac:dyDescent="0.2">
      <c r="A28" t="s">
        <v>87</v>
      </c>
      <c r="B28">
        <v>44805250</v>
      </c>
      <c r="C28">
        <v>23.48</v>
      </c>
    </row>
    <row r="29" spans="1:3" x14ac:dyDescent="0.2">
      <c r="A29" t="s">
        <v>88</v>
      </c>
      <c r="B29">
        <v>41024175</v>
      </c>
      <c r="C29">
        <v>16.28</v>
      </c>
    </row>
    <row r="30" spans="1:3" x14ac:dyDescent="0.2">
      <c r="A30" t="s">
        <v>89</v>
      </c>
      <c r="B30">
        <v>40462275</v>
      </c>
      <c r="C30">
        <v>20.98</v>
      </c>
    </row>
    <row r="31" spans="1:3" x14ac:dyDescent="0.2">
      <c r="A31" t="s">
        <v>90</v>
      </c>
      <c r="B31">
        <v>35512225</v>
      </c>
      <c r="C31">
        <v>24.09</v>
      </c>
    </row>
    <row r="32" spans="1:3" x14ac:dyDescent="0.2">
      <c r="A32" t="s">
        <v>91</v>
      </c>
      <c r="B32">
        <v>32683575</v>
      </c>
      <c r="C32">
        <v>14.38</v>
      </c>
    </row>
    <row r="33" spans="1:3" x14ac:dyDescent="0.2">
      <c r="A33" t="s">
        <v>92</v>
      </c>
      <c r="B33">
        <v>28689875</v>
      </c>
      <c r="C33">
        <v>16.739999999999998</v>
      </c>
    </row>
    <row r="34" spans="1:3" x14ac:dyDescent="0.2">
      <c r="A34" t="s">
        <v>93</v>
      </c>
      <c r="B34">
        <v>27471500</v>
      </c>
      <c r="C34">
        <v>17.059999999999999</v>
      </c>
    </row>
    <row r="35" spans="1:3" x14ac:dyDescent="0.2">
      <c r="A35" t="s">
        <v>94</v>
      </c>
      <c r="B35">
        <v>26598050</v>
      </c>
      <c r="C35">
        <v>26.08</v>
      </c>
    </row>
    <row r="36" spans="1:3" x14ac:dyDescent="0.2">
      <c r="A36" t="s">
        <v>95</v>
      </c>
      <c r="B36">
        <v>24579575</v>
      </c>
      <c r="C36">
        <v>21.37</v>
      </c>
    </row>
    <row r="37" spans="1:3" x14ac:dyDescent="0.2">
      <c r="A37" t="s">
        <v>96</v>
      </c>
      <c r="B37">
        <v>23196100</v>
      </c>
      <c r="C37">
        <v>20.2</v>
      </c>
    </row>
    <row r="38" spans="1:3" x14ac:dyDescent="0.2">
      <c r="A38" t="s">
        <v>97</v>
      </c>
      <c r="B38">
        <v>15312700</v>
      </c>
      <c r="C38">
        <v>17.87</v>
      </c>
    </row>
    <row r="39" spans="1:3" x14ac:dyDescent="0.2">
      <c r="A39" t="s">
        <v>98</v>
      </c>
      <c r="B39">
        <v>14538175</v>
      </c>
      <c r="C39">
        <v>14.58</v>
      </c>
    </row>
    <row r="40" spans="1:3" x14ac:dyDescent="0.2">
      <c r="A40" t="s">
        <v>99</v>
      </c>
      <c r="B40">
        <v>12997675</v>
      </c>
      <c r="C40">
        <v>25.18</v>
      </c>
    </row>
    <row r="41" spans="1:3" x14ac:dyDescent="0.2">
      <c r="A41" t="s">
        <v>100</v>
      </c>
      <c r="B41">
        <v>12162275</v>
      </c>
      <c r="C41">
        <v>15.52</v>
      </c>
    </row>
    <row r="42" spans="1:3" x14ac:dyDescent="0.2">
      <c r="A42" t="s">
        <v>101</v>
      </c>
      <c r="B42">
        <v>11580775</v>
      </c>
      <c r="C42">
        <v>19.75</v>
      </c>
    </row>
    <row r="43" spans="1:3" x14ac:dyDescent="0.2">
      <c r="A43" t="s">
        <v>102</v>
      </c>
      <c r="B43">
        <v>10908150</v>
      </c>
      <c r="C43">
        <v>19.66</v>
      </c>
    </row>
    <row r="44" spans="1:3" x14ac:dyDescent="0.2">
      <c r="A44" t="s">
        <v>103</v>
      </c>
      <c r="B44">
        <v>9683300</v>
      </c>
      <c r="C44">
        <v>16.87</v>
      </c>
    </row>
    <row r="45" spans="1:3" x14ac:dyDescent="0.2">
      <c r="A45" t="s">
        <v>104</v>
      </c>
      <c r="B45">
        <v>8768425</v>
      </c>
      <c r="C45">
        <v>21.32</v>
      </c>
    </row>
    <row r="46" spans="1:3" x14ac:dyDescent="0.2">
      <c r="A46" t="s">
        <v>105</v>
      </c>
      <c r="B46">
        <v>7978300</v>
      </c>
      <c r="C46">
        <v>16.77</v>
      </c>
    </row>
    <row r="47" spans="1:3" x14ac:dyDescent="0.2">
      <c r="A47" t="s">
        <v>106</v>
      </c>
      <c r="B47">
        <v>7314800</v>
      </c>
      <c r="C47">
        <v>13.21</v>
      </c>
    </row>
    <row r="48" spans="1:3" x14ac:dyDescent="0.2">
      <c r="A48" t="s">
        <v>107</v>
      </c>
      <c r="B48">
        <v>5354550</v>
      </c>
      <c r="C48">
        <v>13.95</v>
      </c>
    </row>
    <row r="49" spans="1:3" x14ac:dyDescent="0.2">
      <c r="A49" t="s">
        <v>108</v>
      </c>
      <c r="B49">
        <v>5134475</v>
      </c>
      <c r="C49">
        <v>20.47</v>
      </c>
    </row>
    <row r="50" spans="1:3" x14ac:dyDescent="0.2">
      <c r="A50" t="s">
        <v>109</v>
      </c>
      <c r="B50">
        <v>4531450</v>
      </c>
      <c r="C50">
        <v>18.829999999999998</v>
      </c>
    </row>
    <row r="51" spans="1:3" x14ac:dyDescent="0.2">
      <c r="A51" t="s">
        <v>110</v>
      </c>
      <c r="B51">
        <v>4410900</v>
      </c>
      <c r="C51">
        <v>13.84</v>
      </c>
    </row>
    <row r="52" spans="1:3" x14ac:dyDescent="0.2">
      <c r="A52" t="s">
        <v>111</v>
      </c>
      <c r="B52">
        <v>7200</v>
      </c>
      <c r="C52">
        <v>14.29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Credit_Risk_Dashboard</vt:lpstr>
      <vt:lpstr>Top_KPIs</vt:lpstr>
      <vt:lpstr>ROI_Data</vt:lpstr>
      <vt:lpstr>LGD_Data</vt:lpstr>
      <vt:lpstr>FICO_DTI_Data</vt:lpstr>
      <vt:lpstr>Utilization_Data</vt:lpstr>
      <vt:lpstr>Term_Data</vt:lpstr>
      <vt:lpstr>Emp_Length_Data</vt:lpstr>
      <vt:lpstr>Purpose_Data</vt:lpstr>
      <vt:lpstr>Loan_Amount_Data</vt:lpstr>
      <vt:lpstr>State_Data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Sharma</cp:lastModifiedBy>
  <dcterms:created xsi:type="dcterms:W3CDTF">2026-10-03T08:55:28Z</dcterms:created>
  <dcterms:modified xsi:type="dcterms:W3CDTF">2026-10-04T06:36:44Z</dcterms:modified>
</cp:coreProperties>
</file>